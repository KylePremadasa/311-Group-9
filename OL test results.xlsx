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ward/Downloads/UNI/3rd Year/311/PR2/Scope Outputs/OL TEST/"/>
    </mc:Choice>
  </mc:AlternateContent>
  <xr:revisionPtr revIDLastSave="0" documentId="13_ncr:1_{D3B96677-78E3-6D48-96C2-DD2BD4B5F183}" xr6:coauthVersionLast="47" xr6:coauthVersionMax="47" xr10:uidLastSave="{00000000-0000-0000-0000-000000000000}"/>
  <bookViews>
    <workbookView xWindow="2780" yWindow="1500" windowWidth="28040" windowHeight="17440" xr2:uid="{F7317023-7B2B-674E-B17E-7765013A1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7" i="1"/>
  <c r="F28" i="1"/>
  <c r="F29" i="1"/>
  <c r="F30" i="1"/>
  <c r="F31" i="1"/>
  <c r="F21" i="1"/>
  <c r="I22" i="1"/>
  <c r="I23" i="1"/>
  <c r="I24" i="1"/>
  <c r="I25" i="1"/>
  <c r="I27" i="1"/>
  <c r="I28" i="1"/>
  <c r="I29" i="1"/>
  <c r="I30" i="1"/>
  <c r="I31" i="1"/>
  <c r="I21" i="1"/>
  <c r="C31" i="1"/>
  <c r="C30" i="1"/>
  <c r="C29" i="1"/>
  <c r="C28" i="1"/>
  <c r="C27" i="1"/>
  <c r="C25" i="1"/>
  <c r="C24" i="1"/>
  <c r="C23" i="1"/>
  <c r="C22" i="1"/>
  <c r="C21" i="1"/>
  <c r="J5" i="1"/>
  <c r="J6" i="1"/>
  <c r="J7" i="1"/>
  <c r="J8" i="1"/>
  <c r="J9" i="1"/>
  <c r="J11" i="1"/>
  <c r="J12" i="1"/>
  <c r="J13" i="1"/>
  <c r="J14" i="1"/>
  <c r="J16" i="1"/>
  <c r="E14" i="1"/>
  <c r="E10" i="1"/>
  <c r="E11" i="1"/>
  <c r="E12" i="1"/>
  <c r="E13" i="1"/>
  <c r="E5" i="1"/>
  <c r="E6" i="1"/>
  <c r="E7" i="1"/>
  <c r="E8" i="1"/>
  <c r="E4" i="1"/>
  <c r="J21" i="1" l="1"/>
  <c r="J29" i="1"/>
  <c r="J28" i="1"/>
  <c r="J30" i="1"/>
  <c r="J31" i="1"/>
  <c r="J27" i="1"/>
  <c r="J25" i="1"/>
  <c r="J24" i="1"/>
  <c r="J23" i="1"/>
  <c r="J22" i="1"/>
</calcChain>
</file>

<file path=xl/sharedStrings.xml><?xml version="1.0" encoding="utf-8"?>
<sst xmlns="http://schemas.openxmlformats.org/spreadsheetml/2006/main" count="20" uniqueCount="14">
  <si>
    <t>Vin</t>
  </si>
  <si>
    <t>Load</t>
  </si>
  <si>
    <t>Pin</t>
  </si>
  <si>
    <t>Pout</t>
  </si>
  <si>
    <t>Efficiency</t>
  </si>
  <si>
    <t>Vout (scope)</t>
  </si>
  <si>
    <t>Required DC (SG)</t>
  </si>
  <si>
    <t>Required DC (Inverted-Real)</t>
  </si>
  <si>
    <t>Vin (PCB)</t>
  </si>
  <si>
    <t>Iin (PS)</t>
  </si>
  <si>
    <t>Vout (PCB)</t>
  </si>
  <si>
    <t>Iout (EL)</t>
  </si>
  <si>
    <t>Initial Results</t>
  </si>
  <si>
    <t>Input and Output GNDS connected and manually calculated PCB power so as to not include external cable loss in PCB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</si>
</sst>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30EC-AF18-034A-91E8-0DCF7CCEF4D1}">
  <dimension ref="A1:L43"/>
  <sheetViews>
    <sheetView tabSelected="1" topLeftCell="A3" zoomScale="131" workbookViewId="0">
      <selection activeCell="M25" sqref="M25"/>
    </sheetView>
  </sheetViews>
  <sheetFormatPr baseColWidth="10" defaultRowHeight="16" x14ac:dyDescent="0.2"/>
  <cols>
    <col min="2" max="2" width="15" customWidth="1"/>
    <col min="3" max="3" width="23.6640625" customWidth="1"/>
    <col min="4" max="4" width="15.33203125" customWidth="1"/>
    <col min="5" max="5" width="13.5" customWidth="1"/>
  </cols>
  <sheetData>
    <row r="1" spans="1:10" x14ac:dyDescent="0.2">
      <c r="A1" t="s">
        <v>12</v>
      </c>
    </row>
    <row r="3" spans="1:10" x14ac:dyDescent="0.2">
      <c r="A3" t="s">
        <v>0</v>
      </c>
      <c r="B3" t="s">
        <v>5</v>
      </c>
      <c r="C3" t="s">
        <v>1</v>
      </c>
      <c r="D3" t="s">
        <v>6</v>
      </c>
      <c r="E3" t="s">
        <v>7</v>
      </c>
      <c r="F3" t="s">
        <v>2</v>
      </c>
    </row>
    <row r="4" spans="1:10" x14ac:dyDescent="0.2">
      <c r="A4">
        <v>2.5</v>
      </c>
      <c r="B4">
        <v>4.7</v>
      </c>
      <c r="C4">
        <v>5</v>
      </c>
      <c r="D4">
        <v>25</v>
      </c>
      <c r="E4">
        <f>100-D4</f>
        <v>75</v>
      </c>
      <c r="F4">
        <v>6.95</v>
      </c>
      <c r="I4" t="s">
        <v>3</v>
      </c>
      <c r="J4" t="s">
        <v>4</v>
      </c>
    </row>
    <row r="5" spans="1:10" x14ac:dyDescent="0.2">
      <c r="A5">
        <v>2.5</v>
      </c>
      <c r="B5">
        <v>5</v>
      </c>
      <c r="C5">
        <v>16.25</v>
      </c>
      <c r="D5">
        <v>41</v>
      </c>
      <c r="E5">
        <f t="shared" ref="E5:E14" si="0">100-D5</f>
        <v>59</v>
      </c>
      <c r="F5">
        <v>1.71</v>
      </c>
      <c r="I5">
        <v>3.3</v>
      </c>
      <c r="J5" s="1">
        <f>I5/F4</f>
        <v>0.47482014388489208</v>
      </c>
    </row>
    <row r="6" spans="1:10" x14ac:dyDescent="0.2">
      <c r="A6">
        <v>2.5</v>
      </c>
      <c r="B6">
        <v>5</v>
      </c>
      <c r="C6">
        <v>27.5</v>
      </c>
      <c r="D6">
        <v>43</v>
      </c>
      <c r="E6">
        <f t="shared" si="0"/>
        <v>57</v>
      </c>
      <c r="F6">
        <v>1</v>
      </c>
      <c r="I6">
        <v>1.35</v>
      </c>
      <c r="J6" s="1">
        <f>I6/F5</f>
        <v>0.78947368421052644</v>
      </c>
    </row>
    <row r="7" spans="1:10" x14ac:dyDescent="0.2">
      <c r="A7">
        <v>2.5</v>
      </c>
      <c r="B7">
        <v>5</v>
      </c>
      <c r="C7">
        <v>38.75</v>
      </c>
      <c r="D7">
        <v>44</v>
      </c>
      <c r="E7">
        <f t="shared" si="0"/>
        <v>56</v>
      </c>
      <c r="F7">
        <v>0.7</v>
      </c>
      <c r="I7">
        <v>0.83</v>
      </c>
      <c r="J7" s="1">
        <f>I7/F6</f>
        <v>0.83</v>
      </c>
    </row>
    <row r="8" spans="1:10" x14ac:dyDescent="0.2">
      <c r="A8">
        <v>2.5</v>
      </c>
      <c r="B8">
        <v>5</v>
      </c>
      <c r="C8">
        <v>50</v>
      </c>
      <c r="D8">
        <v>44</v>
      </c>
      <c r="E8">
        <f t="shared" si="0"/>
        <v>56</v>
      </c>
      <c r="F8">
        <v>0.55000000000000004</v>
      </c>
      <c r="I8">
        <v>0.6</v>
      </c>
      <c r="J8" s="1">
        <f>I8/F7</f>
        <v>0.85714285714285721</v>
      </c>
    </row>
    <row r="9" spans="1:10" x14ac:dyDescent="0.2">
      <c r="I9">
        <v>0.48</v>
      </c>
      <c r="J9" s="1">
        <f>I9/F8</f>
        <v>0.87272727272727257</v>
      </c>
    </row>
    <row r="10" spans="1:10" x14ac:dyDescent="0.2">
      <c r="A10">
        <v>3.5</v>
      </c>
      <c r="B10">
        <v>5</v>
      </c>
      <c r="C10">
        <v>5</v>
      </c>
      <c r="D10">
        <v>55</v>
      </c>
      <c r="E10">
        <f t="shared" si="0"/>
        <v>45</v>
      </c>
      <c r="F10">
        <v>5.16</v>
      </c>
      <c r="J10" s="1"/>
    </row>
    <row r="11" spans="1:10" x14ac:dyDescent="0.2">
      <c r="A11">
        <v>3.5</v>
      </c>
      <c r="B11">
        <v>5</v>
      </c>
      <c r="C11">
        <v>16.25</v>
      </c>
      <c r="D11">
        <v>61</v>
      </c>
      <c r="E11">
        <f t="shared" si="0"/>
        <v>39</v>
      </c>
      <c r="F11">
        <v>1.61</v>
      </c>
      <c r="I11">
        <v>3.4</v>
      </c>
      <c r="J11" s="1">
        <f>I11/F10</f>
        <v>0.65891472868217049</v>
      </c>
    </row>
    <row r="12" spans="1:10" x14ac:dyDescent="0.2">
      <c r="A12">
        <v>3.5</v>
      </c>
      <c r="B12">
        <v>5</v>
      </c>
      <c r="C12">
        <v>27.5</v>
      </c>
      <c r="D12">
        <v>63</v>
      </c>
      <c r="E12">
        <f t="shared" si="0"/>
        <v>37</v>
      </c>
      <c r="F12">
        <v>0.97</v>
      </c>
      <c r="I12">
        <v>1.32</v>
      </c>
      <c r="J12" s="1">
        <f>I12/F11</f>
        <v>0.81987577639751552</v>
      </c>
    </row>
    <row r="13" spans="1:10" x14ac:dyDescent="0.2">
      <c r="A13">
        <v>3.5</v>
      </c>
      <c r="B13">
        <v>5</v>
      </c>
      <c r="C13">
        <v>38.75</v>
      </c>
      <c r="D13">
        <v>64</v>
      </c>
      <c r="E13">
        <f t="shared" si="0"/>
        <v>36</v>
      </c>
      <c r="F13">
        <v>0.71</v>
      </c>
      <c r="I13">
        <v>0.84</v>
      </c>
      <c r="J13" s="1">
        <f>I13/F12</f>
        <v>0.865979381443299</v>
      </c>
    </row>
    <row r="14" spans="1:10" x14ac:dyDescent="0.2">
      <c r="A14">
        <v>3.5</v>
      </c>
      <c r="B14">
        <v>5</v>
      </c>
      <c r="C14">
        <v>50</v>
      </c>
      <c r="D14">
        <v>65</v>
      </c>
      <c r="E14">
        <f t="shared" si="0"/>
        <v>35</v>
      </c>
      <c r="F14">
        <v>0.55000000000000004</v>
      </c>
      <c r="I14">
        <v>0.62</v>
      </c>
      <c r="J14" s="1">
        <f>I14/F13</f>
        <v>0.87323943661971837</v>
      </c>
    </row>
    <row r="15" spans="1:10" x14ac:dyDescent="0.2">
      <c r="J15" s="1"/>
    </row>
    <row r="16" spans="1:10" x14ac:dyDescent="0.2">
      <c r="I16">
        <v>0.49</v>
      </c>
      <c r="J16" s="1">
        <f>I16/F14</f>
        <v>0.89090909090909087</v>
      </c>
    </row>
    <row r="17" spans="1:12" x14ac:dyDescent="0.2">
      <c r="A17" s="2">
        <v>46309</v>
      </c>
    </row>
    <row r="18" spans="1:12" x14ac:dyDescent="0.2">
      <c r="A18" t="s">
        <v>13</v>
      </c>
    </row>
    <row r="20" spans="1:12" x14ac:dyDescent="0.2">
      <c r="A20" t="s">
        <v>1</v>
      </c>
      <c r="B20" t="s">
        <v>6</v>
      </c>
      <c r="C20" t="s">
        <v>7</v>
      </c>
      <c r="D20" t="s">
        <v>8</v>
      </c>
      <c r="E20" t="s">
        <v>9</v>
      </c>
      <c r="F20" t="s">
        <v>2</v>
      </c>
      <c r="G20" t="s">
        <v>10</v>
      </c>
      <c r="H20" t="s">
        <v>11</v>
      </c>
      <c r="I20" t="s">
        <v>3</v>
      </c>
      <c r="J20" t="s">
        <v>4</v>
      </c>
    </row>
    <row r="21" spans="1:12" x14ac:dyDescent="0.2">
      <c r="A21">
        <v>5</v>
      </c>
      <c r="B21">
        <v>37</v>
      </c>
      <c r="C21">
        <f>100-B21</f>
        <v>63</v>
      </c>
      <c r="D21">
        <v>2.52</v>
      </c>
      <c r="E21">
        <v>2.4300000000000002</v>
      </c>
      <c r="F21">
        <f>E21*D21</f>
        <v>6.1236000000000006</v>
      </c>
      <c r="G21">
        <v>4.9800000000000004</v>
      </c>
      <c r="H21">
        <v>0.93</v>
      </c>
      <c r="I21">
        <f>G21*H21</f>
        <v>4.6314000000000011</v>
      </c>
      <c r="J21" s="1">
        <f>I21/F21</f>
        <v>0.75631981187536756</v>
      </c>
    </row>
    <row r="22" spans="1:12" x14ac:dyDescent="0.2">
      <c r="A22">
        <v>16.25</v>
      </c>
      <c r="B22">
        <v>41</v>
      </c>
      <c r="C22">
        <f t="shared" ref="C22:C25" si="1">100-B22</f>
        <v>59</v>
      </c>
      <c r="D22">
        <v>2.5</v>
      </c>
      <c r="E22">
        <v>0.72</v>
      </c>
      <c r="F22">
        <f t="shared" ref="F22:F31" si="2">E22*D22</f>
        <v>1.7999999999999998</v>
      </c>
      <c r="G22">
        <v>5.0599999999999996</v>
      </c>
      <c r="H22">
        <v>0.30499999999999999</v>
      </c>
      <c r="I22">
        <f t="shared" ref="I22:I31" si="3">G22*H22</f>
        <v>1.5432999999999999</v>
      </c>
      <c r="J22" s="1">
        <f t="shared" ref="J22:J31" si="4">I22/F22</f>
        <v>0.85738888888888887</v>
      </c>
    </row>
    <row r="23" spans="1:12" x14ac:dyDescent="0.2">
      <c r="A23">
        <v>27.5</v>
      </c>
      <c r="B23">
        <v>44</v>
      </c>
      <c r="C23">
        <f t="shared" si="1"/>
        <v>56</v>
      </c>
      <c r="D23">
        <v>2.5099999999999998</v>
      </c>
      <c r="E23">
        <v>0.40400000000000003</v>
      </c>
      <c r="F23">
        <f t="shared" si="2"/>
        <v>1.0140400000000001</v>
      </c>
      <c r="G23">
        <v>5.01</v>
      </c>
      <c r="H23">
        <v>0.18</v>
      </c>
      <c r="I23">
        <f t="shared" si="3"/>
        <v>0.90179999999999993</v>
      </c>
      <c r="J23" s="1">
        <f t="shared" si="4"/>
        <v>0.88931403100469397</v>
      </c>
    </row>
    <row r="24" spans="1:12" x14ac:dyDescent="0.2">
      <c r="A24">
        <v>38.75</v>
      </c>
      <c r="B24">
        <v>45</v>
      </c>
      <c r="C24">
        <f t="shared" si="1"/>
        <v>55</v>
      </c>
      <c r="D24">
        <v>2.4900000000000002</v>
      </c>
      <c r="E24">
        <v>0.28000000000000003</v>
      </c>
      <c r="F24">
        <f t="shared" si="2"/>
        <v>0.69720000000000015</v>
      </c>
      <c r="G24">
        <v>4.96</v>
      </c>
      <c r="H24">
        <v>0.125</v>
      </c>
      <c r="I24">
        <f t="shared" si="3"/>
        <v>0.62</v>
      </c>
      <c r="J24" s="1">
        <f t="shared" si="4"/>
        <v>0.88927137119908184</v>
      </c>
    </row>
    <row r="25" spans="1:12" x14ac:dyDescent="0.2">
      <c r="A25">
        <v>50</v>
      </c>
      <c r="B25">
        <v>45</v>
      </c>
      <c r="C25">
        <f t="shared" si="1"/>
        <v>55</v>
      </c>
      <c r="D25">
        <v>2.5</v>
      </c>
      <c r="E25">
        <v>0.22</v>
      </c>
      <c r="F25">
        <f t="shared" si="2"/>
        <v>0.55000000000000004</v>
      </c>
      <c r="G25">
        <v>4.99</v>
      </c>
      <c r="H25">
        <v>0.1</v>
      </c>
      <c r="I25">
        <f t="shared" si="3"/>
        <v>0.49900000000000005</v>
      </c>
      <c r="J25" s="1">
        <f t="shared" si="4"/>
        <v>0.90727272727272734</v>
      </c>
    </row>
    <row r="26" spans="1:12" x14ac:dyDescent="0.2">
      <c r="J26" s="1"/>
    </row>
    <row r="27" spans="1:12" x14ac:dyDescent="0.2">
      <c r="A27">
        <v>5</v>
      </c>
      <c r="B27">
        <v>58</v>
      </c>
      <c r="C27">
        <f t="shared" ref="C27:C31" si="5">100-B27</f>
        <v>42</v>
      </c>
      <c r="D27">
        <v>3.51</v>
      </c>
      <c r="E27">
        <v>1.65</v>
      </c>
      <c r="F27">
        <f t="shared" si="2"/>
        <v>5.7914999999999992</v>
      </c>
      <c r="G27">
        <v>5</v>
      </c>
      <c r="H27">
        <v>0.98</v>
      </c>
      <c r="I27">
        <f t="shared" si="3"/>
        <v>4.9000000000000004</v>
      </c>
      <c r="J27" s="1">
        <f t="shared" si="4"/>
        <v>0.84606751273417957</v>
      </c>
    </row>
    <row r="28" spans="1:12" x14ac:dyDescent="0.2">
      <c r="A28">
        <v>16.25</v>
      </c>
      <c r="B28">
        <v>63</v>
      </c>
      <c r="C28">
        <f t="shared" si="5"/>
        <v>37</v>
      </c>
      <c r="D28">
        <v>3.4990000000000001</v>
      </c>
      <c r="E28">
        <v>0.49199999999999999</v>
      </c>
      <c r="F28">
        <f t="shared" si="2"/>
        <v>1.721508</v>
      </c>
      <c r="G28">
        <v>4.9800000000000004</v>
      </c>
      <c r="H28">
        <v>0.3</v>
      </c>
      <c r="I28">
        <f t="shared" si="3"/>
        <v>1.494</v>
      </c>
      <c r="J28" s="1">
        <f t="shared" si="4"/>
        <v>0.86784377417938219</v>
      </c>
    </row>
    <row r="29" spans="1:12" x14ac:dyDescent="0.2">
      <c r="A29">
        <v>27.5</v>
      </c>
      <c r="B29">
        <v>63</v>
      </c>
      <c r="C29">
        <f t="shared" si="5"/>
        <v>37</v>
      </c>
      <c r="D29">
        <v>3.4969999999999999</v>
      </c>
      <c r="E29">
        <v>0.28999999999999998</v>
      </c>
      <c r="F29">
        <f t="shared" si="2"/>
        <v>1.01413</v>
      </c>
      <c r="G29">
        <v>5.05</v>
      </c>
      <c r="H29">
        <v>0.18</v>
      </c>
      <c r="I29">
        <f t="shared" si="3"/>
        <v>0.90899999999999992</v>
      </c>
      <c r="J29" s="1">
        <f t="shared" si="4"/>
        <v>0.89633478942541878</v>
      </c>
    </row>
    <row r="30" spans="1:12" x14ac:dyDescent="0.2">
      <c r="A30">
        <v>38.75</v>
      </c>
      <c r="B30">
        <v>64</v>
      </c>
      <c r="C30">
        <f t="shared" si="5"/>
        <v>36</v>
      </c>
      <c r="D30">
        <v>3.51</v>
      </c>
      <c r="E30">
        <v>0.2</v>
      </c>
      <c r="F30">
        <f t="shared" si="2"/>
        <v>0.70199999999999996</v>
      </c>
      <c r="G30">
        <v>5.01</v>
      </c>
      <c r="H30">
        <v>0.127</v>
      </c>
      <c r="I30">
        <f t="shared" si="3"/>
        <v>0.63627</v>
      </c>
      <c r="J30" s="1">
        <f t="shared" si="4"/>
        <v>0.90636752136752141</v>
      </c>
    </row>
    <row r="31" spans="1:12" x14ac:dyDescent="0.2">
      <c r="A31">
        <v>50</v>
      </c>
      <c r="B31">
        <v>65</v>
      </c>
      <c r="C31">
        <f t="shared" si="5"/>
        <v>35</v>
      </c>
      <c r="D31">
        <v>3.51</v>
      </c>
      <c r="E31">
        <v>0.152</v>
      </c>
      <c r="F31">
        <f t="shared" si="2"/>
        <v>0.53351999999999999</v>
      </c>
      <c r="G31">
        <v>4.96</v>
      </c>
      <c r="H31">
        <v>0.1</v>
      </c>
      <c r="I31">
        <f t="shared" si="3"/>
        <v>0.496</v>
      </c>
      <c r="J31" s="1">
        <f t="shared" si="4"/>
        <v>0.92967461388514017</v>
      </c>
    </row>
    <row r="32" spans="1:12" x14ac:dyDescent="0.2">
      <c r="L32" s="1"/>
    </row>
    <row r="33" spans="12:12" x14ac:dyDescent="0.2">
      <c r="L33" s="1"/>
    </row>
    <row r="34" spans="12:12" x14ac:dyDescent="0.2">
      <c r="L34" s="1"/>
    </row>
    <row r="35" spans="12:12" x14ac:dyDescent="0.2">
      <c r="L35" s="1"/>
    </row>
    <row r="36" spans="12:12" x14ac:dyDescent="0.2">
      <c r="L36" s="1"/>
    </row>
    <row r="37" spans="12:12" x14ac:dyDescent="0.2">
      <c r="L37" s="1"/>
    </row>
    <row r="38" spans="12:12" x14ac:dyDescent="0.2">
      <c r="L38" s="1"/>
    </row>
    <row r="39" spans="12:12" x14ac:dyDescent="0.2">
      <c r="L39" s="1"/>
    </row>
    <row r="40" spans="12:12" x14ac:dyDescent="0.2">
      <c r="L40" s="1"/>
    </row>
    <row r="41" spans="12:12" x14ac:dyDescent="0.2">
      <c r="L41" s="1"/>
    </row>
    <row r="42" spans="12:12" x14ac:dyDescent="0.2">
      <c r="L42" s="1"/>
    </row>
    <row r="43" spans="12:12" x14ac:dyDescent="0.2">
      <c r="L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Ward</dc:creator>
  <cp:lastModifiedBy>Alexander Ward</cp:lastModifiedBy>
  <dcterms:created xsi:type="dcterms:W3CDTF">2026-10-01T02:20:19Z</dcterms:created>
  <dcterms:modified xsi:type="dcterms:W3CDTF">2026-10-14T06:19:34Z</dcterms:modified>
</cp:coreProperties>
</file>