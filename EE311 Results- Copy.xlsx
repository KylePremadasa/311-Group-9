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deb8a6805bc7d3/Documents/311 Github/311-Group-9/"/>
    </mc:Choice>
  </mc:AlternateContent>
  <xr:revisionPtr revIDLastSave="396" documentId="13_ncr:1_{20C5C26B-082A-4702-9DBF-333ED5865572}" xr6:coauthVersionLast="47" xr6:coauthVersionMax="47" xr10:uidLastSave="{4695DBD6-90E9-4C3A-8B04-E3FE7505D6D3}"/>
  <bookViews>
    <workbookView xWindow="-108" yWindow="-108" windowWidth="23256" windowHeight="12456" xr2:uid="{0EA872C3-4804-43CB-9F0B-5F94DB7B435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1" i="3" l="1"/>
  <c r="V41" i="3"/>
  <c r="T41" i="3"/>
  <c r="R41" i="3"/>
  <c r="P41" i="3"/>
  <c r="N41" i="3"/>
  <c r="X39" i="3"/>
  <c r="X40" i="3" s="1"/>
  <c r="V39" i="3"/>
  <c r="T39" i="3"/>
  <c r="T40" i="3" s="1"/>
  <c r="R39" i="3"/>
  <c r="P39" i="3"/>
  <c r="N39" i="3"/>
  <c r="R40" i="3"/>
  <c r="P40" i="3"/>
  <c r="N40" i="3"/>
  <c r="V40" i="3"/>
  <c r="X27" i="3"/>
  <c r="V27" i="3"/>
  <c r="T27" i="3"/>
  <c r="R27" i="3"/>
  <c r="P27" i="3"/>
  <c r="N27" i="3"/>
  <c r="B24" i="3"/>
  <c r="B23" i="3"/>
  <c r="B29" i="3" s="1"/>
  <c r="P26" i="3"/>
  <c r="R26" i="3"/>
  <c r="T26" i="3"/>
  <c r="V26" i="3"/>
  <c r="X26" i="3"/>
  <c r="N26" i="3"/>
  <c r="X7" i="3"/>
  <c r="X13" i="3" s="1"/>
  <c r="N7" i="3"/>
  <c r="N13" i="3" s="1"/>
  <c r="P7" i="3"/>
  <c r="P6" i="3" s="1"/>
  <c r="R7" i="3"/>
  <c r="R6" i="3" s="1"/>
  <c r="T7" i="3"/>
  <c r="T6" i="3" s="1"/>
  <c r="V7" i="3"/>
  <c r="V6" i="3" s="1"/>
  <c r="B53" i="3"/>
  <c r="P13" i="3" l="1"/>
  <c r="R13" i="3"/>
  <c r="R11" i="3" s="1"/>
  <c r="R12" i="3" s="1"/>
  <c r="T13" i="3"/>
  <c r="V13" i="3"/>
  <c r="V11" i="3" s="1"/>
  <c r="V12" i="3" s="1"/>
  <c r="X6" i="3"/>
  <c r="X11" i="3" s="1"/>
  <c r="X12" i="3" s="1"/>
  <c r="T11" i="3"/>
  <c r="T12" i="3" s="1"/>
  <c r="X10" i="3"/>
  <c r="P11" i="3"/>
  <c r="P12" i="3" s="1"/>
  <c r="V10" i="3"/>
  <c r="T10" i="3"/>
  <c r="R10" i="3"/>
  <c r="P10" i="3"/>
  <c r="N6" i="3"/>
  <c r="N11" i="3" s="1"/>
  <c r="N12" i="3" s="1"/>
  <c r="B28" i="3"/>
  <c r="N10" i="3" l="1"/>
</calcChain>
</file>

<file path=xl/sharedStrings.xml><?xml version="1.0" encoding="utf-8"?>
<sst xmlns="http://schemas.openxmlformats.org/spreadsheetml/2006/main" count="357" uniqueCount="80">
  <si>
    <t>Parameter</t>
  </si>
  <si>
    <t>Value</t>
  </si>
  <si>
    <t>Unit</t>
  </si>
  <si>
    <t>V</t>
  </si>
  <si>
    <t>W</t>
  </si>
  <si>
    <t>Unit (eq)</t>
  </si>
  <si>
    <t>Evaluating Steady-State Operating Conditions (Theoretical)</t>
  </si>
  <si>
    <t>Vout</t>
  </si>
  <si>
    <t>Vref</t>
  </si>
  <si>
    <t>Vin</t>
  </si>
  <si>
    <t>A</t>
  </si>
  <si>
    <t>Max Pout(avg)</t>
  </si>
  <si>
    <t>Min Pout(avg)</t>
  </si>
  <si>
    <t>Charger Design</t>
  </si>
  <si>
    <t>Charger Design Specifications</t>
  </si>
  <si>
    <t>Min Vout(avg)</t>
  </si>
  <si>
    <t>Max Vout(avg)</t>
  </si>
  <si>
    <t>Max Current(avg)</t>
  </si>
  <si>
    <t>Voltage Regulation</t>
  </si>
  <si>
    <t>%</t>
  </si>
  <si>
    <t>Selected Mosfet</t>
  </si>
  <si>
    <t>Max ID</t>
  </si>
  <si>
    <t>Max Source Voltage</t>
  </si>
  <si>
    <t>Source Voltage @ Max ID</t>
  </si>
  <si>
    <t>Expected Drain Voltage(min)</t>
  </si>
  <si>
    <t>Expected Drain Voltage(max)</t>
  </si>
  <si>
    <t>Evaluating Key Mosfet Parameters (Theoretical)</t>
  </si>
  <si>
    <t>Power Dissipation @ 2.5Vout</t>
  </si>
  <si>
    <t>Power Dissipation @ 3.5Vout</t>
  </si>
  <si>
    <t>Evaluating Key Opamp Parameters (Theoretical)</t>
  </si>
  <si>
    <t>Supply Voltage</t>
  </si>
  <si>
    <t>Feedback Voltage @ 2.5 Vout</t>
  </si>
  <si>
    <t>Feedback Voltage @ 3.5 Vout</t>
  </si>
  <si>
    <t>Selected Opamp</t>
  </si>
  <si>
    <t>Evaluating Key BJT Parameters (Theoretical)</t>
  </si>
  <si>
    <t>Selected BJT</t>
  </si>
  <si>
    <t>Emitter Voltage</t>
  </si>
  <si>
    <t>Base Voltage @ Current Limit</t>
  </si>
  <si>
    <t xml:space="preserve">Sense Resitance </t>
  </si>
  <si>
    <t>Ω</t>
  </si>
  <si>
    <t>Current Limit</t>
  </si>
  <si>
    <t>VEB Turn on voltage</t>
  </si>
  <si>
    <t>Stead State Gate Voltage</t>
  </si>
  <si>
    <t>Steady State Output Voltage</t>
  </si>
  <si>
    <t xml:space="preserve">Iout </t>
  </si>
  <si>
    <t>Vfb</t>
  </si>
  <si>
    <t>Mpower</t>
  </si>
  <si>
    <t>Vrsense</t>
  </si>
  <si>
    <t>Rload</t>
  </si>
  <si>
    <t>VDS</t>
  </si>
  <si>
    <t>Evaluating Steady-State Operating Conditions (Simulation)</t>
  </si>
  <si>
    <t>Vin = 5 V</t>
  </si>
  <si>
    <t>Vout = Iout × Rload</t>
  </si>
  <si>
    <t>Selected test value</t>
  </si>
  <si>
    <t>Vref = Vout(target) × R7/(R6+R7)</t>
  </si>
  <si>
    <t>Vfb = Vout × R7/(R6+R7)</t>
  </si>
  <si>
    <t>VDS = Vdrain - Vsource</t>
  </si>
  <si>
    <t>Pmos = ABS(VDS) × ID</t>
  </si>
  <si>
    <t>Vrsense = Iout × Rsense</t>
  </si>
  <si>
    <t>Iout = Vout/Rload</t>
  </si>
  <si>
    <t>IRF4905PBF</t>
  </si>
  <si>
    <t>TLV9162</t>
  </si>
  <si>
    <t>Evaluating Steady-State Operating Conditions (Actual)</t>
  </si>
  <si>
    <t>Resistance</t>
  </si>
  <si>
    <t>Evaluating Steady-State Mosfet Voltages (Gate)</t>
  </si>
  <si>
    <t>Evaluating Steady-State Mosfet Voltages (Source)</t>
  </si>
  <si>
    <t>Evaluating Steady-State BJT Voltages (Base)</t>
  </si>
  <si>
    <t>Evaluating Steady-State Mosfet Voltages (Emitter)</t>
  </si>
  <si>
    <t>Evaluating Steady-State Mosfet Voltages (Collecter)</t>
  </si>
  <si>
    <t>Voltage</t>
  </si>
  <si>
    <t>Evaluating Steady-State Mosfet Voltages (Drain)</t>
  </si>
  <si>
    <t>Evaluating Steady-State Load Current</t>
  </si>
  <si>
    <t>Amps</t>
  </si>
  <si>
    <t>Evaluating Steady-State Load Voltage</t>
  </si>
  <si>
    <t>BLUE = Measured with DMM</t>
  </si>
  <si>
    <t>GREEN = Measured with electronic load</t>
  </si>
  <si>
    <t>BC807</t>
  </si>
  <si>
    <t>5V input</t>
  </si>
  <si>
    <t>4.7V input</t>
  </si>
  <si>
    <t>5.3V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</si>
</sst>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1" applyFont="1"/>
    <xf numFmtId="0" fontId="4" fillId="3" borderId="2" xfId="2" applyFont="1" applyBorder="1"/>
    <xf numFmtId="2" fontId="4" fillId="4" borderId="3" xfId="0" applyNumberFormat="1" applyFont="1" applyFill="1" applyBorder="1"/>
    <xf numFmtId="0" fontId="4" fillId="0" borderId="4" xfId="0" applyFont="1" applyBorder="1"/>
    <xf numFmtId="0" fontId="4" fillId="3" borderId="5" xfId="2" applyFont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4" borderId="17" xfId="0" applyNumberFormat="1" applyFont="1" applyFill="1" applyBorder="1"/>
    <xf numFmtId="0" fontId="4" fillId="0" borderId="18" xfId="0" applyFont="1" applyBorder="1"/>
    <xf numFmtId="0" fontId="4" fillId="3" borderId="8" xfId="2" applyFont="1" applyBorder="1"/>
    <xf numFmtId="2" fontId="4" fillId="4" borderId="9" xfId="0" applyNumberFormat="1" applyFont="1" applyFill="1" applyBorder="1"/>
    <xf numFmtId="0" fontId="4" fillId="0" borderId="10" xfId="0" applyFont="1" applyBorder="1"/>
    <xf numFmtId="0" fontId="4" fillId="3" borderId="20" xfId="2" applyFont="1" applyBorder="1"/>
    <xf numFmtId="2" fontId="4" fillId="0" borderId="21" xfId="0" applyNumberFormat="1" applyFont="1" applyBorder="1"/>
    <xf numFmtId="49" fontId="4" fillId="0" borderId="22" xfId="0" applyNumberFormat="1" applyFont="1" applyBorder="1"/>
    <xf numFmtId="0" fontId="4" fillId="3" borderId="23" xfId="2" applyFont="1" applyBorder="1"/>
    <xf numFmtId="49" fontId="4" fillId="0" borderId="24" xfId="0" applyNumberFormat="1" applyFont="1" applyBorder="1"/>
    <xf numFmtId="49" fontId="4" fillId="0" borderId="13" xfId="0" applyNumberFormat="1" applyFont="1" applyBorder="1"/>
    <xf numFmtId="0" fontId="4" fillId="3" borderId="11" xfId="2" applyFont="1" applyBorder="1"/>
    <xf numFmtId="164" fontId="4" fillId="0" borderId="0" xfId="0" applyNumberFormat="1" applyFont="1"/>
    <xf numFmtId="49" fontId="4" fillId="0" borderId="0" xfId="0" applyNumberFormat="1" applyFont="1"/>
    <xf numFmtId="49" fontId="4" fillId="0" borderId="10" xfId="0" applyNumberFormat="1" applyFont="1" applyBorder="1"/>
    <xf numFmtId="0" fontId="4" fillId="3" borderId="25" xfId="2" applyFont="1" applyBorder="1"/>
    <xf numFmtId="49" fontId="4" fillId="0" borderId="26" xfId="0" applyNumberFormat="1" applyFont="1" applyBorder="1"/>
    <xf numFmtId="49" fontId="4" fillId="0" borderId="12" xfId="0" applyNumberFormat="1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165" fontId="4" fillId="4" borderId="3" xfId="0" applyNumberFormat="1" applyFont="1" applyFill="1" applyBorder="1"/>
    <xf numFmtId="165" fontId="4" fillId="0" borderId="3" xfId="0" applyNumberFormat="1" applyFont="1" applyBorder="1"/>
    <xf numFmtId="165" fontId="4" fillId="5" borderId="3" xfId="0" applyNumberFormat="1" applyFont="1" applyFill="1" applyBorder="1"/>
    <xf numFmtId="165" fontId="4" fillId="0" borderId="15" xfId="0" applyNumberFormat="1" applyFont="1" applyBorder="1"/>
    <xf numFmtId="0" fontId="6" fillId="0" borderId="30" xfId="0" applyFont="1" applyBorder="1"/>
    <xf numFmtId="0" fontId="6" fillId="0" borderId="0" xfId="0" applyFont="1"/>
    <xf numFmtId="0" fontId="6" fillId="0" borderId="31" xfId="0" applyFont="1" applyBorder="1"/>
    <xf numFmtId="0" fontId="4" fillId="3" borderId="19" xfId="2" applyFont="1" applyBorder="1"/>
    <xf numFmtId="165" fontId="4" fillId="4" borderId="14" xfId="0" applyNumberFormat="1" applyFont="1" applyFill="1" applyBorder="1"/>
    <xf numFmtId="165" fontId="4" fillId="4" borderId="6" xfId="0" applyNumberFormat="1" applyFont="1" applyFill="1" applyBorder="1"/>
    <xf numFmtId="165" fontId="4" fillId="0" borderId="26" xfId="0" applyNumberFormat="1" applyFont="1" applyBorder="1"/>
    <xf numFmtId="165" fontId="4" fillId="0" borderId="13" xfId="0" applyNumberFormat="1" applyFont="1" applyBorder="1"/>
    <xf numFmtId="165" fontId="4" fillId="5" borderId="6" xfId="0" applyNumberFormat="1" applyFont="1" applyFill="1" applyBorder="1"/>
    <xf numFmtId="165" fontId="4" fillId="0" borderId="6" xfId="0" applyNumberFormat="1" applyFont="1" applyBorder="1"/>
    <xf numFmtId="0" fontId="4" fillId="3" borderId="16" xfId="2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0" fontId="6" fillId="6" borderId="0" xfId="0" applyFont="1" applyFill="1"/>
    <xf numFmtId="0" fontId="7" fillId="6" borderId="1" xfId="1" applyFont="1" applyFill="1"/>
    <xf numFmtId="165" fontId="6" fillId="6" borderId="3" xfId="0" applyNumberFormat="1" applyFont="1" applyFill="1" applyBorder="1"/>
    <xf numFmtId="165" fontId="6" fillId="6" borderId="14" xfId="0" applyNumberFormat="1" applyFont="1" applyFill="1" applyBorder="1"/>
    <xf numFmtId="165" fontId="6" fillId="6" borderId="6" xfId="0" applyNumberFormat="1" applyFont="1" applyFill="1" applyBorder="1"/>
    <xf numFmtId="0" fontId="6" fillId="7" borderId="0" xfId="0" applyFont="1" applyFill="1"/>
    <xf numFmtId="0" fontId="7" fillId="7" borderId="1" xfId="1" applyFont="1" applyFill="1"/>
    <xf numFmtId="165" fontId="6" fillId="7" borderId="3" xfId="0" applyNumberFormat="1" applyFont="1" applyFill="1" applyBorder="1"/>
    <xf numFmtId="165" fontId="6" fillId="7" borderId="14" xfId="0" applyNumberFormat="1" applyFont="1" applyFill="1" applyBorder="1"/>
    <xf numFmtId="165" fontId="6" fillId="7" borderId="6" xfId="0" applyNumberFormat="1" applyFont="1" applyFill="1" applyBorder="1"/>
    <xf numFmtId="0" fontId="6" fillId="8" borderId="0" xfId="0" applyFont="1" applyFill="1"/>
    <xf numFmtId="0" fontId="6" fillId="9" borderId="0" xfId="0" applyFont="1" applyFill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521C-5B07-44ED-8604-0670432A7445}">
  <sheetPr>
    <pageSetUpPr fitToPage="1"/>
  </sheetPr>
  <dimension ref="A1:BM58"/>
  <sheetViews>
    <sheetView tabSelected="1" topLeftCell="A14" zoomScale="43" zoomScaleNormal="70" workbookViewId="0">
      <selection activeCell="J55" sqref="J55"/>
    </sheetView>
  </sheetViews>
  <sheetFormatPr defaultColWidth="8.88671875" defaultRowHeight="18"/>
  <cols>
    <col min="1" max="1" width="28.44140625" style="2" customWidth="1"/>
    <col min="2" max="2" width="8.88671875" style="2" customWidth="1"/>
    <col min="3" max="6" width="8.88671875" style="2"/>
    <col min="7" max="7" width="10" style="2" bestFit="1" customWidth="1"/>
    <col min="8" max="8" width="8.88671875" style="2"/>
    <col min="9" max="9" width="9" style="2" bestFit="1" customWidth="1"/>
    <col min="10" max="10" width="8.88671875" style="2"/>
    <col min="11" max="11" width="9" style="2" bestFit="1" customWidth="1"/>
    <col min="12" max="12" width="10.6640625" style="2" customWidth="1"/>
    <col min="13" max="13" width="9" style="2" bestFit="1" customWidth="1"/>
    <col min="14" max="14" width="10.33203125" style="2" bestFit="1" customWidth="1"/>
    <col min="15" max="15" width="9" style="2" bestFit="1" customWidth="1"/>
    <col min="16" max="16" width="9.109375" style="2" bestFit="1" customWidth="1"/>
    <col min="17" max="17" width="9" style="2" bestFit="1" customWidth="1"/>
    <col min="18" max="18" width="9.109375" style="2" bestFit="1" customWidth="1"/>
    <col min="19" max="19" width="8.88671875" style="2"/>
    <col min="20" max="20" width="9.109375" style="2" bestFit="1" customWidth="1"/>
    <col min="21" max="21" width="10" style="2" bestFit="1" customWidth="1"/>
    <col min="22" max="22" width="9.109375" style="2" bestFit="1" customWidth="1"/>
    <col min="23" max="23" width="9" style="2" bestFit="1" customWidth="1"/>
    <col min="24" max="24" width="9.109375" style="2" bestFit="1" customWidth="1"/>
    <col min="25" max="25" width="10.5546875" style="2" customWidth="1"/>
    <col min="26" max="26" width="8.88671875" style="2"/>
    <col min="27" max="27" width="9" style="2" bestFit="1" customWidth="1"/>
    <col min="28" max="28" width="14.109375" style="2" customWidth="1"/>
    <col min="29" max="29" width="16.44140625" style="2" customWidth="1"/>
    <col min="30" max="30" width="8.88671875" style="2"/>
    <col min="31" max="31" width="20.21875" style="2" customWidth="1"/>
    <col min="32" max="32" width="16.44140625" style="2" customWidth="1"/>
    <col min="33" max="33" width="14.77734375" style="2" customWidth="1"/>
    <col min="34" max="34" width="13.5546875" style="2" customWidth="1"/>
    <col min="35" max="35" width="16.5546875" style="2" customWidth="1"/>
    <col min="36" max="36" width="13.6640625" style="2" customWidth="1"/>
    <col min="37" max="37" width="15.6640625" style="2" customWidth="1"/>
    <col min="38" max="40" width="8.88671875" style="2"/>
    <col min="41" max="41" width="18.21875" style="2" customWidth="1"/>
    <col min="42" max="42" width="15.44140625" style="2" customWidth="1"/>
    <col min="43" max="43" width="11.6640625" style="2" customWidth="1"/>
    <col min="44" max="44" width="7.33203125" style="2" customWidth="1"/>
    <col min="45" max="45" width="17.77734375" style="2" customWidth="1"/>
    <col min="46" max="46" width="15.21875" style="2" customWidth="1"/>
    <col min="47" max="52" width="8.88671875" style="2"/>
    <col min="53" max="53" width="14.21875" style="2" customWidth="1"/>
    <col min="54" max="54" width="14.77734375" style="2" customWidth="1"/>
    <col min="55" max="55" width="9" style="2" bestFit="1" customWidth="1"/>
    <col min="56" max="56" width="8.88671875" style="2"/>
    <col min="57" max="57" width="9" style="2" bestFit="1" customWidth="1"/>
    <col min="58" max="58" width="8.88671875" style="2"/>
    <col min="59" max="59" width="9" style="2" bestFit="1" customWidth="1"/>
    <col min="60" max="60" width="8.88671875" style="2"/>
    <col min="61" max="61" width="13.5546875" style="2" customWidth="1"/>
    <col min="62" max="62" width="13.77734375" style="2" customWidth="1"/>
    <col min="63" max="64" width="8.88671875" style="2"/>
    <col min="65" max="65" width="15.109375" style="2" customWidth="1"/>
    <col min="66" max="16384" width="8.88671875" style="2"/>
  </cols>
  <sheetData>
    <row r="1" spans="1:65">
      <c r="A1" s="1" t="s">
        <v>13</v>
      </c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</row>
    <row r="2" spans="1:65">
      <c r="M2" s="1" t="s">
        <v>6</v>
      </c>
      <c r="AA2" s="49"/>
      <c r="AB2" s="49" t="s">
        <v>65</v>
      </c>
      <c r="AC2" s="49"/>
      <c r="AD2" s="49"/>
      <c r="AE2" s="49"/>
      <c r="AF2" s="49" t="s">
        <v>64</v>
      </c>
      <c r="AG2" s="49"/>
      <c r="AH2" s="49"/>
      <c r="AI2" s="49"/>
      <c r="AJ2" s="49" t="s">
        <v>70</v>
      </c>
      <c r="AK2" s="49"/>
      <c r="AL2" s="49"/>
      <c r="AM2" s="49"/>
      <c r="AN2" s="49"/>
      <c r="AO2" s="49"/>
      <c r="AP2" s="54"/>
      <c r="AQ2" s="54"/>
      <c r="AR2" s="54"/>
      <c r="AS2" s="54" t="s">
        <v>73</v>
      </c>
      <c r="AT2" s="54"/>
      <c r="AU2" s="54"/>
      <c r="AV2" s="54"/>
      <c r="AW2" s="54"/>
      <c r="AX2" s="54"/>
      <c r="AY2" s="54"/>
      <c r="AZ2" s="54"/>
      <c r="BA2" s="54" t="s">
        <v>73</v>
      </c>
      <c r="BB2" s="54"/>
      <c r="BC2" s="54"/>
      <c r="BD2" s="54"/>
      <c r="BE2" s="54"/>
      <c r="BF2" s="54"/>
      <c r="BG2" s="54"/>
      <c r="BH2" s="54"/>
      <c r="BI2" s="54" t="s">
        <v>73</v>
      </c>
      <c r="BJ2" s="54"/>
      <c r="BK2" s="54"/>
      <c r="BL2" s="54"/>
      <c r="BM2" s="54"/>
    </row>
    <row r="3" spans="1:65" ht="18.600000000000001" thickBot="1">
      <c r="A3" s="1" t="s">
        <v>14</v>
      </c>
      <c r="G3" s="1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</row>
    <row r="4" spans="1:65" ht="19.2" thickTop="1" thickBot="1">
      <c r="M4" s="3" t="s">
        <v>0</v>
      </c>
      <c r="N4" s="3" t="s">
        <v>1</v>
      </c>
      <c r="O4" s="3" t="s">
        <v>5</v>
      </c>
      <c r="P4" s="3" t="s">
        <v>1</v>
      </c>
      <c r="Q4" s="3" t="s">
        <v>5</v>
      </c>
      <c r="R4" s="3" t="s">
        <v>1</v>
      </c>
      <c r="S4" s="3" t="s">
        <v>5</v>
      </c>
      <c r="T4" s="3" t="s">
        <v>1</v>
      </c>
      <c r="U4" s="3" t="s">
        <v>5</v>
      </c>
      <c r="V4" s="3" t="s">
        <v>1</v>
      </c>
      <c r="W4" s="3" t="s">
        <v>5</v>
      </c>
      <c r="X4" s="3" t="s">
        <v>1</v>
      </c>
      <c r="Y4" s="3" t="s">
        <v>5</v>
      </c>
      <c r="AA4" s="49"/>
      <c r="AB4" s="50" t="s">
        <v>63</v>
      </c>
      <c r="AC4" s="50" t="s">
        <v>69</v>
      </c>
      <c r="AD4" s="49"/>
      <c r="AE4" s="49"/>
      <c r="AF4" s="50" t="s">
        <v>63</v>
      </c>
      <c r="AG4" s="50" t="s">
        <v>69</v>
      </c>
      <c r="AH4" s="49"/>
      <c r="AI4" s="49"/>
      <c r="AJ4" s="50" t="s">
        <v>63</v>
      </c>
      <c r="AK4" s="50" t="s">
        <v>69</v>
      </c>
      <c r="AL4" s="49"/>
      <c r="AM4" s="49"/>
      <c r="AN4" s="49"/>
      <c r="AO4" s="49"/>
      <c r="AP4" s="54"/>
      <c r="AQ4" s="54" t="s">
        <v>77</v>
      </c>
      <c r="AR4" s="54"/>
      <c r="AS4" s="55" t="s">
        <v>63</v>
      </c>
      <c r="AT4" s="55" t="s">
        <v>69</v>
      </c>
      <c r="AU4" s="54"/>
      <c r="AV4" s="54"/>
      <c r="AW4" s="54"/>
      <c r="AX4" s="54"/>
      <c r="AY4" s="54" t="s">
        <v>78</v>
      </c>
      <c r="AZ4" s="54"/>
      <c r="BA4" s="55" t="s">
        <v>63</v>
      </c>
      <c r="BB4" s="55" t="s">
        <v>69</v>
      </c>
      <c r="BC4" s="54"/>
      <c r="BD4" s="54"/>
      <c r="BE4" s="54"/>
      <c r="BF4" s="54"/>
      <c r="BG4" s="54" t="s">
        <v>79</v>
      </c>
      <c r="BH4" s="54"/>
      <c r="BI4" s="55" t="s">
        <v>63</v>
      </c>
      <c r="BJ4" s="55" t="s">
        <v>69</v>
      </c>
      <c r="BK4" s="54"/>
      <c r="BL4" s="54"/>
      <c r="BM4" s="54"/>
    </row>
    <row r="5" spans="1:65" ht="19.2" thickTop="1" thickBot="1">
      <c r="A5" s="3" t="s">
        <v>0</v>
      </c>
      <c r="B5" s="3" t="s">
        <v>1</v>
      </c>
      <c r="C5" s="3" t="s">
        <v>2</v>
      </c>
      <c r="H5" s="28" t="s">
        <v>51</v>
      </c>
      <c r="I5" s="29"/>
      <c r="J5" s="29"/>
      <c r="K5" s="30"/>
      <c r="M5" s="4" t="s">
        <v>9</v>
      </c>
      <c r="N5" s="31">
        <v>5</v>
      </c>
      <c r="O5" s="32" t="s">
        <v>3</v>
      </c>
      <c r="P5" s="31">
        <v>5</v>
      </c>
      <c r="Q5" s="32" t="s">
        <v>3</v>
      </c>
      <c r="R5" s="33">
        <v>5</v>
      </c>
      <c r="S5" s="32" t="s">
        <v>3</v>
      </c>
      <c r="T5" s="31">
        <v>5</v>
      </c>
      <c r="U5" s="32" t="s">
        <v>3</v>
      </c>
      <c r="V5" s="31">
        <v>5</v>
      </c>
      <c r="W5" s="34" t="s">
        <v>3</v>
      </c>
      <c r="X5" s="31">
        <v>5</v>
      </c>
      <c r="Y5" s="34" t="s">
        <v>3</v>
      </c>
      <c r="AA5" s="49"/>
      <c r="AB5" s="51">
        <v>100</v>
      </c>
      <c r="AC5" s="51">
        <v>4.9400000000000004</v>
      </c>
      <c r="AD5" s="49"/>
      <c r="AE5" s="49"/>
      <c r="AF5" s="51">
        <v>100</v>
      </c>
      <c r="AG5" s="51">
        <v>1.4710000000000001</v>
      </c>
      <c r="AH5" s="49"/>
      <c r="AI5" s="49"/>
      <c r="AJ5" s="51">
        <v>100</v>
      </c>
      <c r="AK5" s="51">
        <v>3.4940000000000002</v>
      </c>
      <c r="AL5" s="49"/>
      <c r="AM5" s="49"/>
      <c r="AN5" s="49"/>
      <c r="AO5" s="49"/>
      <c r="AP5" s="54"/>
      <c r="AQ5" s="54"/>
      <c r="AR5" s="54"/>
      <c r="AS5" s="56">
        <v>100</v>
      </c>
      <c r="AT5" s="56">
        <v>3.488</v>
      </c>
      <c r="AU5" s="54"/>
      <c r="AV5" s="54"/>
      <c r="AW5" s="54"/>
      <c r="AX5" s="54"/>
      <c r="AY5" s="54"/>
      <c r="AZ5" s="54"/>
      <c r="BA5" s="56">
        <v>100</v>
      </c>
      <c r="BB5" s="56"/>
      <c r="BC5" s="54"/>
      <c r="BD5" s="54"/>
      <c r="BE5" s="54"/>
      <c r="BF5" s="54"/>
      <c r="BG5" s="54"/>
      <c r="BH5" s="54"/>
      <c r="BI5" s="56">
        <v>100</v>
      </c>
      <c r="BJ5" s="56"/>
      <c r="BK5" s="54"/>
      <c r="BL5" s="54"/>
      <c r="BM5" s="54"/>
    </row>
    <row r="6" spans="1:65" ht="19.2" thickTop="1" thickBot="1">
      <c r="A6" s="4" t="s">
        <v>9</v>
      </c>
      <c r="B6" s="5">
        <v>5</v>
      </c>
      <c r="C6" s="6" t="s">
        <v>3</v>
      </c>
      <c r="H6" s="35" t="s">
        <v>52</v>
      </c>
      <c r="I6" s="36"/>
      <c r="J6" s="36"/>
      <c r="K6" s="37"/>
      <c r="M6" s="38" t="s">
        <v>7</v>
      </c>
      <c r="N6" s="39">
        <f>N7*N8</f>
        <v>3.5000000000000004</v>
      </c>
      <c r="O6" s="32" t="s">
        <v>3</v>
      </c>
      <c r="P6" s="39">
        <f t="shared" ref="P6:V6" si="0">P7*P8</f>
        <v>3.5000000000000004</v>
      </c>
      <c r="Q6" s="32" t="s">
        <v>3</v>
      </c>
      <c r="R6" s="39">
        <f t="shared" si="0"/>
        <v>3.5</v>
      </c>
      <c r="S6" s="32" t="s">
        <v>3</v>
      </c>
      <c r="T6" s="39">
        <f t="shared" si="0"/>
        <v>3.5</v>
      </c>
      <c r="U6" s="32" t="s">
        <v>3</v>
      </c>
      <c r="V6" s="39">
        <f t="shared" si="0"/>
        <v>2.5</v>
      </c>
      <c r="W6" s="32" t="s">
        <v>3</v>
      </c>
      <c r="X6" s="39">
        <f t="shared" ref="X6" si="1">X7*X8</f>
        <v>0.5</v>
      </c>
      <c r="Y6" s="32" t="s">
        <v>3</v>
      </c>
      <c r="AA6" s="49"/>
      <c r="AB6" s="52">
        <v>90</v>
      </c>
      <c r="AC6" s="51">
        <v>4.9400000000000004</v>
      </c>
      <c r="AD6" s="49"/>
      <c r="AE6" s="49"/>
      <c r="AF6" s="52">
        <v>90</v>
      </c>
      <c r="AG6" s="51">
        <v>1.452</v>
      </c>
      <c r="AH6" s="49"/>
      <c r="AI6" s="49"/>
      <c r="AJ6" s="52">
        <v>90</v>
      </c>
      <c r="AK6" s="51">
        <v>3.4940000000000002</v>
      </c>
      <c r="AL6" s="49"/>
      <c r="AM6" s="49"/>
      <c r="AN6" s="49"/>
      <c r="AO6" s="49"/>
      <c r="AP6" s="54"/>
      <c r="AQ6" s="54"/>
      <c r="AR6" s="54"/>
      <c r="AS6" s="57">
        <v>90</v>
      </c>
      <c r="AT6" s="56">
        <v>3.4849999999999999</v>
      </c>
      <c r="AU6" s="54"/>
      <c r="AV6" s="54"/>
      <c r="AW6" s="54"/>
      <c r="AX6" s="54"/>
      <c r="AY6" s="54"/>
      <c r="AZ6" s="54"/>
      <c r="BA6" s="57">
        <v>90</v>
      </c>
      <c r="BB6" s="56"/>
      <c r="BC6" s="54"/>
      <c r="BD6" s="54"/>
      <c r="BE6" s="54"/>
      <c r="BF6" s="54"/>
      <c r="BG6" s="54"/>
      <c r="BH6" s="54"/>
      <c r="BI6" s="57">
        <v>90</v>
      </c>
      <c r="BJ6" s="56"/>
      <c r="BK6" s="54"/>
      <c r="BL6" s="54"/>
      <c r="BM6" s="54"/>
    </row>
    <row r="7" spans="1:65" ht="19.2" thickTop="1" thickBot="1">
      <c r="A7" s="7" t="s">
        <v>15</v>
      </c>
      <c r="B7" s="8">
        <v>0</v>
      </c>
      <c r="C7" s="9" t="s">
        <v>3</v>
      </c>
      <c r="H7" s="35" t="s">
        <v>59</v>
      </c>
      <c r="I7" s="36"/>
      <c r="J7" s="36"/>
      <c r="K7" s="37"/>
      <c r="M7" s="7" t="s">
        <v>44</v>
      </c>
      <c r="N7" s="40">
        <f>MIN(3.5/N8,0.5)</f>
        <v>3.5000000000000003E-2</v>
      </c>
      <c r="O7" s="41" t="s">
        <v>10</v>
      </c>
      <c r="P7" s="40">
        <f t="shared" ref="P7:X7" si="2">MIN(3.5/P8,0.5)</f>
        <v>7.0000000000000007E-2</v>
      </c>
      <c r="Q7" s="41" t="s">
        <v>10</v>
      </c>
      <c r="R7" s="40">
        <f t="shared" si="2"/>
        <v>0.11666666666666667</v>
      </c>
      <c r="S7" s="41" t="s">
        <v>10</v>
      </c>
      <c r="T7" s="40">
        <f t="shared" si="2"/>
        <v>0.5</v>
      </c>
      <c r="U7" s="41" t="s">
        <v>10</v>
      </c>
      <c r="V7" s="40">
        <f t="shared" si="2"/>
        <v>0.5</v>
      </c>
      <c r="W7" s="41" t="s">
        <v>10</v>
      </c>
      <c r="X7" s="40">
        <f t="shared" si="2"/>
        <v>0.5</v>
      </c>
      <c r="Y7" s="41" t="s">
        <v>10</v>
      </c>
      <c r="AA7" s="49"/>
      <c r="AB7" s="53">
        <v>80</v>
      </c>
      <c r="AC7" s="51">
        <v>4.93</v>
      </c>
      <c r="AD7" s="49"/>
      <c r="AE7" s="49"/>
      <c r="AF7" s="53">
        <v>80</v>
      </c>
      <c r="AG7" s="51">
        <v>1.431</v>
      </c>
      <c r="AH7" s="49"/>
      <c r="AI7" s="49"/>
      <c r="AJ7" s="53">
        <v>80</v>
      </c>
      <c r="AK7" s="51">
        <v>3.4929999999999999</v>
      </c>
      <c r="AL7" s="49"/>
      <c r="AM7" s="49"/>
      <c r="AN7" s="49"/>
      <c r="AO7" s="49"/>
      <c r="AP7" s="54"/>
      <c r="AQ7" s="54"/>
      <c r="AR7" s="54"/>
      <c r="AS7" s="58">
        <v>80</v>
      </c>
      <c r="AT7" s="56">
        <v>3.4849999999999999</v>
      </c>
      <c r="AU7" s="54"/>
      <c r="AV7" s="54"/>
      <c r="AW7" s="54"/>
      <c r="AX7" s="54"/>
      <c r="AY7" s="54"/>
      <c r="AZ7" s="54"/>
      <c r="BA7" s="58">
        <v>80</v>
      </c>
      <c r="BB7" s="56"/>
      <c r="BC7" s="54"/>
      <c r="BD7" s="54"/>
      <c r="BE7" s="54"/>
      <c r="BF7" s="54"/>
      <c r="BG7" s="54"/>
      <c r="BH7" s="54"/>
      <c r="BI7" s="58">
        <v>80</v>
      </c>
      <c r="BJ7" s="56"/>
      <c r="BK7" s="54"/>
      <c r="BL7" s="54"/>
      <c r="BM7" s="54"/>
    </row>
    <row r="8" spans="1:65" ht="18.600000000000001" thickTop="1">
      <c r="A8" s="7" t="s">
        <v>16</v>
      </c>
      <c r="B8" s="8">
        <v>3.5</v>
      </c>
      <c r="C8" s="9" t="s">
        <v>3</v>
      </c>
      <c r="H8" s="35" t="s">
        <v>53</v>
      </c>
      <c r="I8" s="36"/>
      <c r="J8" s="36"/>
      <c r="K8" s="37"/>
      <c r="M8" s="7" t="s">
        <v>48</v>
      </c>
      <c r="N8" s="40">
        <v>100</v>
      </c>
      <c r="O8" s="42" t="s">
        <v>39</v>
      </c>
      <c r="P8" s="40">
        <v>50</v>
      </c>
      <c r="Q8" s="42" t="s">
        <v>39</v>
      </c>
      <c r="R8" s="43">
        <v>30</v>
      </c>
      <c r="S8" s="42" t="s">
        <v>39</v>
      </c>
      <c r="T8" s="40">
        <v>7</v>
      </c>
      <c r="U8" s="42" t="s">
        <v>39</v>
      </c>
      <c r="V8" s="40">
        <v>5</v>
      </c>
      <c r="W8" s="42" t="s">
        <v>39</v>
      </c>
      <c r="X8" s="40">
        <v>1</v>
      </c>
      <c r="Y8" s="42" t="s">
        <v>39</v>
      </c>
      <c r="AA8" s="49"/>
      <c r="AB8" s="53">
        <v>70</v>
      </c>
      <c r="AC8" s="51">
        <v>4.93</v>
      </c>
      <c r="AD8" s="49"/>
      <c r="AE8" s="49"/>
      <c r="AF8" s="53">
        <v>70</v>
      </c>
      <c r="AG8" s="51">
        <v>1.4039999999999999</v>
      </c>
      <c r="AH8" s="49"/>
      <c r="AI8" s="49"/>
      <c r="AJ8" s="53">
        <v>70</v>
      </c>
      <c r="AK8" s="51">
        <v>3.492</v>
      </c>
      <c r="AL8" s="49"/>
      <c r="AM8" s="49"/>
      <c r="AN8" s="49"/>
      <c r="AO8" s="49"/>
      <c r="AP8" s="54"/>
      <c r="AQ8" s="54"/>
      <c r="AR8" s="54"/>
      <c r="AS8" s="58">
        <v>70</v>
      </c>
      <c r="AT8" s="56">
        <v>3.4820000000000002</v>
      </c>
      <c r="AU8" s="54"/>
      <c r="AV8" s="54"/>
      <c r="AW8" s="54"/>
      <c r="AX8" s="54"/>
      <c r="AY8" s="54"/>
      <c r="AZ8" s="54"/>
      <c r="BA8" s="58">
        <v>70</v>
      </c>
      <c r="BB8" s="56"/>
      <c r="BC8" s="54"/>
      <c r="BD8" s="54"/>
      <c r="BE8" s="54"/>
      <c r="BF8" s="54"/>
      <c r="BG8" s="54"/>
      <c r="BH8" s="54"/>
      <c r="BI8" s="58">
        <v>70</v>
      </c>
      <c r="BJ8" s="56"/>
      <c r="BK8" s="54"/>
      <c r="BL8" s="54"/>
      <c r="BM8" s="54"/>
    </row>
    <row r="9" spans="1:65" ht="18.600000000000001" thickBot="1">
      <c r="A9" s="7" t="s">
        <v>17</v>
      </c>
      <c r="B9" s="8">
        <v>0.5</v>
      </c>
      <c r="C9" s="9" t="s">
        <v>10</v>
      </c>
      <c r="H9" s="35" t="s">
        <v>54</v>
      </c>
      <c r="I9" s="36"/>
      <c r="J9" s="36"/>
      <c r="K9" s="37"/>
      <c r="M9" s="7" t="s">
        <v>8</v>
      </c>
      <c r="N9" s="40">
        <v>1.75</v>
      </c>
      <c r="O9" s="44" t="s">
        <v>3</v>
      </c>
      <c r="P9" s="40">
        <v>1.75</v>
      </c>
      <c r="Q9" s="44" t="s">
        <v>3</v>
      </c>
      <c r="R9" s="43">
        <v>1.75</v>
      </c>
      <c r="S9" s="44" t="s">
        <v>3</v>
      </c>
      <c r="T9" s="40">
        <v>1.75</v>
      </c>
      <c r="U9" s="44" t="s">
        <v>3</v>
      </c>
      <c r="V9" s="40">
        <v>1.75</v>
      </c>
      <c r="W9" s="44" t="s">
        <v>3</v>
      </c>
      <c r="X9" s="40">
        <v>1.75</v>
      </c>
      <c r="Y9" s="44" t="s">
        <v>3</v>
      </c>
      <c r="AA9" s="49"/>
      <c r="AB9" s="53">
        <v>60</v>
      </c>
      <c r="AC9" s="53">
        <v>4.92</v>
      </c>
      <c r="AD9" s="49"/>
      <c r="AE9" s="49"/>
      <c r="AF9" s="53">
        <v>60</v>
      </c>
      <c r="AG9" s="53">
        <v>1.377</v>
      </c>
      <c r="AH9" s="49"/>
      <c r="AI9" s="49"/>
      <c r="AJ9" s="53">
        <v>60</v>
      </c>
      <c r="AK9" s="53">
        <v>3.49</v>
      </c>
      <c r="AL9" s="49"/>
      <c r="AM9" s="49"/>
      <c r="AN9" s="49"/>
      <c r="AO9" s="49"/>
      <c r="AP9" s="54"/>
      <c r="AQ9" s="54"/>
      <c r="AR9" s="54"/>
      <c r="AS9" s="58">
        <v>60</v>
      </c>
      <c r="AT9" s="58">
        <v>3.4790000000000001</v>
      </c>
      <c r="AU9" s="54"/>
      <c r="AV9" s="54"/>
      <c r="AW9" s="54"/>
      <c r="AX9" s="54"/>
      <c r="AY9" s="54"/>
      <c r="AZ9" s="54"/>
      <c r="BA9" s="58">
        <v>60</v>
      </c>
      <c r="BB9" s="58"/>
      <c r="BC9" s="54"/>
      <c r="BD9" s="54"/>
      <c r="BE9" s="54"/>
      <c r="BF9" s="54"/>
      <c r="BG9" s="54"/>
      <c r="BH9" s="54"/>
      <c r="BI9" s="58">
        <v>60</v>
      </c>
      <c r="BJ9" s="58"/>
      <c r="BK9" s="54"/>
      <c r="BL9" s="54"/>
      <c r="BM9" s="54"/>
    </row>
    <row r="10" spans="1:65" ht="19.2" thickTop="1" thickBot="1">
      <c r="A10" s="7" t="s">
        <v>11</v>
      </c>
      <c r="B10" s="8">
        <v>1.75</v>
      </c>
      <c r="C10" s="9" t="s">
        <v>4</v>
      </c>
      <c r="H10" s="35" t="s">
        <v>55</v>
      </c>
      <c r="I10" s="36"/>
      <c r="J10" s="36"/>
      <c r="K10" s="37"/>
      <c r="M10" s="7" t="s">
        <v>45</v>
      </c>
      <c r="N10" s="40">
        <f>N6/2</f>
        <v>1.7500000000000002</v>
      </c>
      <c r="O10" s="32" t="s">
        <v>3</v>
      </c>
      <c r="P10" s="40">
        <f t="shared" ref="P10:V10" si="3">P6/2</f>
        <v>1.7500000000000002</v>
      </c>
      <c r="Q10" s="32" t="s">
        <v>3</v>
      </c>
      <c r="R10" s="40">
        <f t="shared" si="3"/>
        <v>1.75</v>
      </c>
      <c r="S10" s="32" t="s">
        <v>3</v>
      </c>
      <c r="T10" s="40">
        <f t="shared" si="3"/>
        <v>1.75</v>
      </c>
      <c r="U10" s="32" t="s">
        <v>3</v>
      </c>
      <c r="V10" s="40">
        <f t="shared" si="3"/>
        <v>1.25</v>
      </c>
      <c r="W10" s="32" t="s">
        <v>3</v>
      </c>
      <c r="X10" s="40">
        <f t="shared" ref="X10" si="4">X6/2</f>
        <v>0.25</v>
      </c>
      <c r="Y10" s="32" t="s">
        <v>3</v>
      </c>
      <c r="AA10" s="49"/>
      <c r="AB10" s="53">
        <v>50</v>
      </c>
      <c r="AC10" s="51">
        <v>4.9080000000000004</v>
      </c>
      <c r="AD10" s="49"/>
      <c r="AE10" s="49"/>
      <c r="AF10" s="53">
        <v>50</v>
      </c>
      <c r="AG10" s="51">
        <v>1.3360000000000001</v>
      </c>
      <c r="AH10" s="49"/>
      <c r="AI10" s="49"/>
      <c r="AJ10" s="53">
        <v>50</v>
      </c>
      <c r="AK10" s="51">
        <v>3.4889999999999999</v>
      </c>
      <c r="AL10" s="49"/>
      <c r="AM10" s="49"/>
      <c r="AN10" s="49"/>
      <c r="AO10" s="49"/>
      <c r="AP10" s="54"/>
      <c r="AQ10" s="54"/>
      <c r="AR10" s="54"/>
      <c r="AS10" s="58">
        <v>50</v>
      </c>
      <c r="AT10" s="56">
        <v>3.476</v>
      </c>
      <c r="AU10" s="54"/>
      <c r="AV10" s="54"/>
      <c r="AW10" s="54"/>
      <c r="AX10" s="54"/>
      <c r="AY10" s="54"/>
      <c r="AZ10" s="54"/>
      <c r="BA10" s="58">
        <v>50</v>
      </c>
      <c r="BB10" s="56"/>
      <c r="BC10" s="54"/>
      <c r="BD10" s="54"/>
      <c r="BE10" s="54"/>
      <c r="BF10" s="54"/>
      <c r="BG10" s="54"/>
      <c r="BH10" s="54"/>
      <c r="BI10" s="58">
        <v>50</v>
      </c>
      <c r="BJ10" s="56"/>
      <c r="BK10" s="54"/>
      <c r="BL10" s="54"/>
      <c r="BM10" s="54"/>
    </row>
    <row r="11" spans="1:65" ht="19.2" thickTop="1" thickBot="1">
      <c r="A11" s="7" t="s">
        <v>12</v>
      </c>
      <c r="B11" s="10">
        <v>0</v>
      </c>
      <c r="C11" s="11" t="s">
        <v>4</v>
      </c>
      <c r="H11" s="35" t="s">
        <v>56</v>
      </c>
      <c r="I11" s="36"/>
      <c r="J11" s="36"/>
      <c r="K11" s="37"/>
      <c r="M11" s="7" t="s">
        <v>49</v>
      </c>
      <c r="N11" s="40">
        <f>N6-N5+N13</f>
        <v>-1.4789999999999996</v>
      </c>
      <c r="O11" s="32" t="s">
        <v>3</v>
      </c>
      <c r="P11" s="40">
        <f>P6-P5+P13</f>
        <v>-1.4579999999999995</v>
      </c>
      <c r="Q11" s="32" t="s">
        <v>3</v>
      </c>
      <c r="R11" s="40">
        <f>R6-R5+R13</f>
        <v>-1.43</v>
      </c>
      <c r="S11" s="32" t="s">
        <v>3</v>
      </c>
      <c r="T11" s="40">
        <f>T6-T5+T13</f>
        <v>-1.2</v>
      </c>
      <c r="U11" s="32" t="s">
        <v>3</v>
      </c>
      <c r="V11" s="40">
        <f>V6-V5+V13</f>
        <v>-2.2000000000000002</v>
      </c>
      <c r="W11" s="32" t="s">
        <v>3</v>
      </c>
      <c r="X11" s="40">
        <f>X6-X5+X13</f>
        <v>-4.2</v>
      </c>
      <c r="Y11" s="32" t="s">
        <v>3</v>
      </c>
      <c r="AA11" s="49"/>
      <c r="AB11" s="53">
        <v>40</v>
      </c>
      <c r="AC11" s="51">
        <v>4.88</v>
      </c>
      <c r="AD11" s="49"/>
      <c r="AE11" s="49"/>
      <c r="AF11" s="53">
        <v>40</v>
      </c>
      <c r="AG11" s="51">
        <v>1.28</v>
      </c>
      <c r="AH11" s="49"/>
      <c r="AI11" s="49"/>
      <c r="AJ11" s="53">
        <v>40</v>
      </c>
      <c r="AK11" s="51">
        <v>3.488</v>
      </c>
      <c r="AL11" s="49"/>
      <c r="AM11" s="49"/>
      <c r="AN11" s="49"/>
      <c r="AO11" s="49"/>
      <c r="AP11" s="54"/>
      <c r="AQ11" s="54"/>
      <c r="AR11" s="54"/>
      <c r="AS11" s="58">
        <v>40</v>
      </c>
      <c r="AT11" s="56">
        <v>3.4710000000000001</v>
      </c>
      <c r="AU11" s="54"/>
      <c r="AV11" s="54"/>
      <c r="AW11" s="54"/>
      <c r="AX11" s="54"/>
      <c r="AY11" s="54"/>
      <c r="AZ11" s="54"/>
      <c r="BA11" s="58">
        <v>40</v>
      </c>
      <c r="BB11" s="56"/>
      <c r="BC11" s="54"/>
      <c r="BD11" s="54"/>
      <c r="BE11" s="54"/>
      <c r="BF11" s="54"/>
      <c r="BG11" s="54"/>
      <c r="BH11" s="54"/>
      <c r="BI11" s="58">
        <v>40</v>
      </c>
      <c r="BJ11" s="56"/>
      <c r="BK11" s="54"/>
      <c r="BL11" s="54"/>
      <c r="BM11" s="54"/>
    </row>
    <row r="12" spans="1:65" ht="19.2" thickTop="1" thickBot="1">
      <c r="A12" s="12" t="s">
        <v>18</v>
      </c>
      <c r="B12" s="13">
        <v>5</v>
      </c>
      <c r="C12" s="14" t="s">
        <v>19</v>
      </c>
      <c r="H12" s="35" t="s">
        <v>57</v>
      </c>
      <c r="I12" s="36"/>
      <c r="J12" s="36"/>
      <c r="K12" s="37"/>
      <c r="M12" s="45" t="s">
        <v>46</v>
      </c>
      <c r="N12" s="40">
        <f>ABS(N11)*N7</f>
        <v>5.1764999999999992E-2</v>
      </c>
      <c r="O12" s="32" t="s">
        <v>4</v>
      </c>
      <c r="P12" s="40">
        <f>ABS(P11)*P7</f>
        <v>0.10205999999999997</v>
      </c>
      <c r="Q12" s="32" t="s">
        <v>4</v>
      </c>
      <c r="R12" s="40">
        <f>ABS(R11)*R7</f>
        <v>0.16683333333333333</v>
      </c>
      <c r="S12" s="32" t="s">
        <v>4</v>
      </c>
      <c r="T12" s="40">
        <f>ABS(T11)*T7</f>
        <v>0.6</v>
      </c>
      <c r="U12" s="32" t="s">
        <v>4</v>
      </c>
      <c r="V12" s="40">
        <f>ABS(V11)*V7</f>
        <v>1.1000000000000001</v>
      </c>
      <c r="W12" s="32" t="s">
        <v>4</v>
      </c>
      <c r="X12" s="40">
        <f>ABS(X11)*X7</f>
        <v>2.1</v>
      </c>
      <c r="Y12" s="32" t="s">
        <v>4</v>
      </c>
      <c r="AA12" s="49"/>
      <c r="AB12" s="53">
        <v>30</v>
      </c>
      <c r="AC12" s="51">
        <v>4.8499999999999996</v>
      </c>
      <c r="AD12" s="49"/>
      <c r="AE12" s="49"/>
      <c r="AF12" s="53">
        <v>30</v>
      </c>
      <c r="AG12" s="51">
        <v>1.22</v>
      </c>
      <c r="AH12" s="49"/>
      <c r="AI12" s="49"/>
      <c r="AJ12" s="53">
        <v>30</v>
      </c>
      <c r="AK12" s="51">
        <v>3.488</v>
      </c>
      <c r="AL12" s="49"/>
      <c r="AM12" s="49"/>
      <c r="AN12" s="49"/>
      <c r="AO12" s="49"/>
      <c r="AP12" s="54"/>
      <c r="AQ12" s="54"/>
      <c r="AR12" s="54"/>
      <c r="AS12" s="58">
        <v>30</v>
      </c>
      <c r="AT12" s="56">
        <v>3.4660000000000002</v>
      </c>
      <c r="AU12" s="54"/>
      <c r="AV12" s="54"/>
      <c r="AW12" s="54"/>
      <c r="AX12" s="54"/>
      <c r="AY12" s="54"/>
      <c r="AZ12" s="54"/>
      <c r="BA12" s="58">
        <v>30</v>
      </c>
      <c r="BB12" s="56"/>
      <c r="BC12" s="54"/>
      <c r="BD12" s="54"/>
      <c r="BE12" s="54"/>
      <c r="BF12" s="54"/>
      <c r="BG12" s="54"/>
      <c r="BH12" s="54"/>
      <c r="BI12" s="58">
        <v>30</v>
      </c>
      <c r="BJ12" s="56"/>
      <c r="BK12" s="54"/>
      <c r="BL12" s="54"/>
      <c r="BM12" s="54"/>
    </row>
    <row r="13" spans="1:65" ht="19.2" thickTop="1" thickBot="1">
      <c r="H13" s="46" t="s">
        <v>58</v>
      </c>
      <c r="I13" s="47"/>
      <c r="J13" s="47"/>
      <c r="K13" s="48"/>
      <c r="M13" s="45" t="s">
        <v>47</v>
      </c>
      <c r="N13" s="40">
        <f>N7*0.6</f>
        <v>2.1000000000000001E-2</v>
      </c>
      <c r="O13" s="32" t="s">
        <v>3</v>
      </c>
      <c r="P13" s="40">
        <f>P7*0.6</f>
        <v>4.2000000000000003E-2</v>
      </c>
      <c r="Q13" s="32" t="s">
        <v>3</v>
      </c>
      <c r="R13" s="40">
        <f>R7*0.6</f>
        <v>6.9999999999999993E-2</v>
      </c>
      <c r="S13" s="32" t="s">
        <v>3</v>
      </c>
      <c r="T13" s="40">
        <f>T7*0.6</f>
        <v>0.3</v>
      </c>
      <c r="U13" s="32" t="s">
        <v>3</v>
      </c>
      <c r="V13" s="40">
        <f>V7*0.6</f>
        <v>0.3</v>
      </c>
      <c r="W13" s="32" t="s">
        <v>3</v>
      </c>
      <c r="X13" s="40">
        <f>X7*0.6</f>
        <v>0.3</v>
      </c>
      <c r="Y13" s="32" t="s">
        <v>3</v>
      </c>
      <c r="AA13" s="49"/>
      <c r="AB13" s="53">
        <v>20</v>
      </c>
      <c r="AC13" s="51">
        <v>4.7880000000000003</v>
      </c>
      <c r="AD13" s="49"/>
      <c r="AE13" s="49"/>
      <c r="AF13" s="53">
        <v>20</v>
      </c>
      <c r="AG13" s="51">
        <v>1.0900000000000001</v>
      </c>
      <c r="AH13" s="49"/>
      <c r="AI13" s="49"/>
      <c r="AJ13" s="53">
        <v>20</v>
      </c>
      <c r="AK13" s="51">
        <v>3.488</v>
      </c>
      <c r="AL13" s="49"/>
      <c r="AM13" s="59"/>
      <c r="AN13" s="59"/>
      <c r="AO13" s="59"/>
      <c r="AP13" s="59"/>
      <c r="AQ13" s="59"/>
      <c r="AR13" s="54"/>
      <c r="AS13" s="58">
        <v>20</v>
      </c>
      <c r="AT13" s="56">
        <v>3.4550000000000001</v>
      </c>
      <c r="AU13" s="54"/>
      <c r="AV13" s="54"/>
      <c r="AW13" s="54"/>
      <c r="AX13" s="54"/>
      <c r="AY13" s="54"/>
      <c r="AZ13" s="54"/>
      <c r="BA13" s="58">
        <v>20</v>
      </c>
      <c r="BB13" s="56"/>
      <c r="BC13" s="54"/>
      <c r="BD13" s="54"/>
      <c r="BE13" s="54"/>
      <c r="BF13" s="54"/>
      <c r="BG13" s="54"/>
      <c r="BH13" s="54"/>
      <c r="BI13" s="58">
        <v>20</v>
      </c>
      <c r="BJ13" s="56"/>
      <c r="BK13" s="54"/>
      <c r="BL13" s="54"/>
      <c r="BM13" s="54"/>
    </row>
    <row r="14" spans="1:65" ht="19.2" thickTop="1" thickBot="1">
      <c r="AA14" s="49"/>
      <c r="AB14" s="51">
        <v>10</v>
      </c>
      <c r="AC14" s="51">
        <v>4.58</v>
      </c>
      <c r="AD14" s="49"/>
      <c r="AE14" s="49"/>
      <c r="AF14" s="51">
        <v>10</v>
      </c>
      <c r="AG14" s="51">
        <v>0.77800000000000002</v>
      </c>
      <c r="AH14" s="49"/>
      <c r="AI14" s="49"/>
      <c r="AJ14" s="51">
        <v>10</v>
      </c>
      <c r="AK14" s="51">
        <v>3.4870000000000001</v>
      </c>
      <c r="AL14" s="49"/>
      <c r="AM14" s="59"/>
      <c r="AN14" s="59"/>
      <c r="AO14" s="59"/>
      <c r="AP14" s="59"/>
      <c r="AQ14" s="59"/>
      <c r="AR14" s="54"/>
      <c r="AS14" s="56">
        <v>10</v>
      </c>
      <c r="AT14" s="56">
        <v>3.419</v>
      </c>
      <c r="AU14" s="54"/>
      <c r="AV14" s="54"/>
      <c r="AW14" s="54"/>
      <c r="AX14" s="54"/>
      <c r="AY14" s="54"/>
      <c r="AZ14" s="54"/>
      <c r="BA14" s="56">
        <v>10</v>
      </c>
      <c r="BB14" s="56"/>
      <c r="BC14" s="54"/>
      <c r="BD14" s="54"/>
      <c r="BE14" s="54"/>
      <c r="BF14" s="54"/>
      <c r="BG14" s="54"/>
      <c r="BH14" s="54"/>
      <c r="BI14" s="56">
        <v>10</v>
      </c>
      <c r="BJ14" s="56"/>
      <c r="BK14" s="54"/>
      <c r="BL14" s="54"/>
      <c r="BM14" s="54"/>
    </row>
    <row r="15" spans="1:65" ht="19.2" thickTop="1" thickBot="1">
      <c r="AA15" s="49"/>
      <c r="AB15" s="52">
        <v>9</v>
      </c>
      <c r="AC15" s="51">
        <v>4.54</v>
      </c>
      <c r="AD15" s="49"/>
      <c r="AE15" s="49"/>
      <c r="AF15" s="52">
        <v>9</v>
      </c>
      <c r="AG15" s="51">
        <v>0.72</v>
      </c>
      <c r="AH15" s="49"/>
      <c r="AI15" s="49"/>
      <c r="AJ15" s="52">
        <v>9</v>
      </c>
      <c r="AK15" s="51">
        <v>3.4860000000000002</v>
      </c>
      <c r="AL15" s="49"/>
      <c r="AM15" s="59"/>
      <c r="AN15" s="60" t="s">
        <v>74</v>
      </c>
      <c r="AO15" s="59"/>
      <c r="AP15" s="59"/>
      <c r="AQ15" s="59"/>
      <c r="AR15" s="54"/>
      <c r="AS15" s="57">
        <v>9</v>
      </c>
      <c r="AT15" s="56">
        <v>3.411</v>
      </c>
      <c r="AU15" s="54"/>
      <c r="AV15" s="54"/>
      <c r="AW15" s="54"/>
      <c r="AX15" s="54"/>
      <c r="AY15" s="54"/>
      <c r="AZ15" s="54"/>
      <c r="BA15" s="57">
        <v>9</v>
      </c>
      <c r="BB15" s="56"/>
      <c r="BC15" s="54"/>
      <c r="BD15" s="54"/>
      <c r="BE15" s="54"/>
      <c r="BF15" s="54"/>
      <c r="BG15" s="54"/>
      <c r="BH15" s="54"/>
      <c r="BI15" s="57">
        <v>9</v>
      </c>
      <c r="BJ15" s="56"/>
      <c r="BK15" s="54"/>
      <c r="BL15" s="54"/>
      <c r="BM15" s="54"/>
    </row>
    <row r="16" spans="1:65" ht="19.2" thickTop="1" thickBot="1">
      <c r="M16" s="1" t="s">
        <v>50</v>
      </c>
      <c r="AA16" s="49"/>
      <c r="AB16" s="53">
        <v>8</v>
      </c>
      <c r="AC16" s="51">
        <v>4.4880000000000004</v>
      </c>
      <c r="AD16" s="49"/>
      <c r="AE16" s="49"/>
      <c r="AF16" s="53">
        <v>8</v>
      </c>
      <c r="AG16" s="51">
        <v>0.64</v>
      </c>
      <c r="AH16" s="49"/>
      <c r="AI16" s="49"/>
      <c r="AJ16" s="53">
        <v>8</v>
      </c>
      <c r="AK16" s="51">
        <v>3.484</v>
      </c>
      <c r="AL16" s="49"/>
      <c r="AM16" s="59"/>
      <c r="AN16" s="54" t="s">
        <v>75</v>
      </c>
      <c r="AO16" s="59"/>
      <c r="AP16" s="59"/>
      <c r="AQ16" s="59"/>
      <c r="AR16" s="54"/>
      <c r="AS16" s="58">
        <v>8</v>
      </c>
      <c r="AT16" s="56">
        <v>3.4</v>
      </c>
      <c r="AU16" s="54"/>
      <c r="AV16" s="54"/>
      <c r="AW16" s="54"/>
      <c r="AX16" s="54"/>
      <c r="AY16" s="54"/>
      <c r="AZ16" s="54"/>
      <c r="BA16" s="58">
        <v>8</v>
      </c>
      <c r="BB16" s="56"/>
      <c r="BC16" s="54"/>
      <c r="BD16" s="54"/>
      <c r="BE16" s="54"/>
      <c r="BF16" s="54"/>
      <c r="BG16" s="54"/>
      <c r="BH16" s="54"/>
      <c r="BI16" s="58">
        <v>8</v>
      </c>
      <c r="BJ16" s="56"/>
      <c r="BK16" s="54"/>
      <c r="BL16" s="54"/>
      <c r="BM16" s="54"/>
    </row>
    <row r="17" spans="1:65" ht="19.2" thickTop="1" thickBot="1">
      <c r="AA17" s="49"/>
      <c r="AB17" s="53">
        <v>7</v>
      </c>
      <c r="AC17" s="51">
        <v>4.42</v>
      </c>
      <c r="AD17" s="49"/>
      <c r="AE17" s="49"/>
      <c r="AF17" s="53">
        <v>7</v>
      </c>
      <c r="AG17" s="51">
        <v>0.54500000000000004</v>
      </c>
      <c r="AH17" s="49"/>
      <c r="AI17" s="49"/>
      <c r="AJ17" s="53">
        <v>7</v>
      </c>
      <c r="AK17" s="51">
        <v>3.484</v>
      </c>
      <c r="AL17" s="49"/>
      <c r="AM17" s="59"/>
      <c r="AN17" s="59"/>
      <c r="AO17" s="59"/>
      <c r="AP17" s="59"/>
      <c r="AQ17" s="59"/>
      <c r="AR17" s="54"/>
      <c r="AS17" s="58">
        <v>7</v>
      </c>
      <c r="AT17" s="56">
        <v>3.3889999999999998</v>
      </c>
      <c r="AU17" s="54"/>
      <c r="AV17" s="54"/>
      <c r="AW17" s="54"/>
      <c r="AX17" s="54"/>
      <c r="AY17" s="54"/>
      <c r="AZ17" s="54"/>
      <c r="BA17" s="58">
        <v>7</v>
      </c>
      <c r="BB17" s="56"/>
      <c r="BC17" s="54"/>
      <c r="BD17" s="54"/>
      <c r="BE17" s="54"/>
      <c r="BF17" s="54"/>
      <c r="BG17" s="54"/>
      <c r="BH17" s="54"/>
      <c r="BI17" s="58">
        <v>7</v>
      </c>
      <c r="BJ17" s="56"/>
      <c r="BK17" s="54"/>
      <c r="BL17" s="54"/>
      <c r="BM17" s="54"/>
    </row>
    <row r="18" spans="1:65" ht="19.2" thickTop="1" thickBot="1">
      <c r="A18" s="1" t="s">
        <v>26</v>
      </c>
      <c r="M18" s="3" t="s">
        <v>0</v>
      </c>
      <c r="N18" s="3" t="s">
        <v>1</v>
      </c>
      <c r="O18" s="3" t="s">
        <v>5</v>
      </c>
      <c r="P18" s="3" t="s">
        <v>1</v>
      </c>
      <c r="Q18" s="3" t="s">
        <v>5</v>
      </c>
      <c r="R18" s="3" t="s">
        <v>1</v>
      </c>
      <c r="S18" s="3" t="s">
        <v>5</v>
      </c>
      <c r="T18" s="3" t="s">
        <v>1</v>
      </c>
      <c r="U18" s="3" t="s">
        <v>5</v>
      </c>
      <c r="V18" s="3" t="s">
        <v>1</v>
      </c>
      <c r="W18" s="3" t="s">
        <v>5</v>
      </c>
      <c r="X18" s="3" t="s">
        <v>1</v>
      </c>
      <c r="Y18" s="3" t="s">
        <v>5</v>
      </c>
      <c r="AA18" s="49"/>
      <c r="AB18" s="53">
        <v>6</v>
      </c>
      <c r="AC18" s="53">
        <v>4.41</v>
      </c>
      <c r="AD18" s="49"/>
      <c r="AE18" s="49"/>
      <c r="AF18" s="53">
        <v>6</v>
      </c>
      <c r="AG18" s="53">
        <v>0.53</v>
      </c>
      <c r="AH18" s="49"/>
      <c r="AI18" s="49"/>
      <c r="AJ18" s="53">
        <v>6</v>
      </c>
      <c r="AK18" s="53">
        <v>2.8879999999999999</v>
      </c>
      <c r="AL18" s="49"/>
      <c r="AM18" s="59"/>
      <c r="AN18" s="59"/>
      <c r="AO18" s="59"/>
      <c r="AP18" s="59"/>
      <c r="AQ18" s="59"/>
      <c r="AR18" s="54"/>
      <c r="AS18" s="58">
        <v>6</v>
      </c>
      <c r="AT18" s="58">
        <v>2.7949999999999999</v>
      </c>
      <c r="AU18" s="54"/>
      <c r="AV18" s="54"/>
      <c r="AW18" s="54"/>
      <c r="AX18" s="54"/>
      <c r="AY18" s="54"/>
      <c r="AZ18" s="54"/>
      <c r="BA18" s="58">
        <v>6</v>
      </c>
      <c r="BB18" s="58"/>
      <c r="BC18" s="54"/>
      <c r="BD18" s="54"/>
      <c r="BE18" s="54"/>
      <c r="BF18" s="54"/>
      <c r="BG18" s="54"/>
      <c r="BH18" s="54"/>
      <c r="BI18" s="58">
        <v>6</v>
      </c>
      <c r="BJ18" s="58"/>
      <c r="BK18" s="54"/>
      <c r="BL18" s="54"/>
      <c r="BM18" s="54"/>
    </row>
    <row r="19" spans="1:65" ht="19.2" thickTop="1" thickBot="1">
      <c r="M19" s="4" t="s">
        <v>9</v>
      </c>
      <c r="N19" s="31">
        <v>5</v>
      </c>
      <c r="O19" s="32" t="s">
        <v>3</v>
      </c>
      <c r="P19" s="31">
        <v>5</v>
      </c>
      <c r="Q19" s="32" t="s">
        <v>3</v>
      </c>
      <c r="R19" s="33">
        <v>5</v>
      </c>
      <c r="S19" s="32" t="s">
        <v>3</v>
      </c>
      <c r="T19" s="31">
        <v>5</v>
      </c>
      <c r="U19" s="32" t="s">
        <v>3</v>
      </c>
      <c r="V19" s="31">
        <v>5</v>
      </c>
      <c r="W19" s="34" t="s">
        <v>3</v>
      </c>
      <c r="X19" s="31">
        <v>5</v>
      </c>
      <c r="Y19" s="34" t="s">
        <v>3</v>
      </c>
      <c r="AA19" s="49"/>
      <c r="AB19" s="53">
        <v>5</v>
      </c>
      <c r="AC19" s="51">
        <v>4.5229999999999997</v>
      </c>
      <c r="AD19" s="49"/>
      <c r="AE19" s="49"/>
      <c r="AF19" s="53">
        <v>5</v>
      </c>
      <c r="AG19" s="51">
        <v>0.72</v>
      </c>
      <c r="AH19" s="49"/>
      <c r="AI19" s="49"/>
      <c r="AJ19" s="53">
        <v>5</v>
      </c>
      <c r="AK19" s="51">
        <v>2.04</v>
      </c>
      <c r="AL19" s="49"/>
      <c r="AM19" s="49"/>
      <c r="AN19" s="49"/>
      <c r="AO19" s="49"/>
      <c r="AP19" s="54"/>
      <c r="AQ19" s="54"/>
      <c r="AR19" s="54"/>
      <c r="AS19" s="58">
        <v>5</v>
      </c>
      <c r="AT19" s="56">
        <v>1.964</v>
      </c>
      <c r="AU19" s="54"/>
      <c r="AV19" s="54"/>
      <c r="AW19" s="54"/>
      <c r="AX19" s="54"/>
      <c r="AY19" s="54"/>
      <c r="AZ19" s="54"/>
      <c r="BA19" s="58">
        <v>5</v>
      </c>
      <c r="BB19" s="56"/>
      <c r="BC19" s="54"/>
      <c r="BD19" s="54"/>
      <c r="BE19" s="54"/>
      <c r="BF19" s="54"/>
      <c r="BG19" s="54"/>
      <c r="BH19" s="54"/>
      <c r="BI19" s="58">
        <v>5</v>
      </c>
      <c r="BJ19" s="56"/>
      <c r="BK19" s="54"/>
      <c r="BL19" s="54"/>
      <c r="BM19" s="54"/>
    </row>
    <row r="20" spans="1:65" ht="19.2" thickTop="1" thickBot="1">
      <c r="A20" s="3" t="s">
        <v>0</v>
      </c>
      <c r="B20" s="3" t="s">
        <v>1</v>
      </c>
      <c r="C20" s="3" t="s">
        <v>5</v>
      </c>
      <c r="M20" s="38" t="s">
        <v>7</v>
      </c>
      <c r="N20" s="39">
        <v>3.5110000000000001</v>
      </c>
      <c r="O20" s="32" t="s">
        <v>3</v>
      </c>
      <c r="P20" s="39">
        <v>3.55</v>
      </c>
      <c r="Q20" s="32" t="s">
        <v>3</v>
      </c>
      <c r="R20" s="39">
        <v>3.54</v>
      </c>
      <c r="S20" s="32" t="s">
        <v>3</v>
      </c>
      <c r="T20" s="39">
        <v>3.45</v>
      </c>
      <c r="U20" s="32" t="s">
        <v>3</v>
      </c>
      <c r="V20" s="39">
        <v>2.4660000000000002</v>
      </c>
      <c r="W20" s="32" t="s">
        <v>3</v>
      </c>
      <c r="X20" s="39">
        <v>0.49399999999999999</v>
      </c>
      <c r="Y20" s="32" t="s">
        <v>3</v>
      </c>
      <c r="AA20" s="49"/>
      <c r="AB20" s="53">
        <v>4</v>
      </c>
      <c r="AC20" s="51">
        <v>4.5129999999999999</v>
      </c>
      <c r="AD20" s="49"/>
      <c r="AE20" s="49"/>
      <c r="AF20" s="53">
        <v>4</v>
      </c>
      <c r="AG20" s="51">
        <v>0.73</v>
      </c>
      <c r="AH20" s="49"/>
      <c r="AI20" s="49"/>
      <c r="AJ20" s="53">
        <v>4</v>
      </c>
      <c r="AK20" s="51">
        <v>1.67</v>
      </c>
      <c r="AL20" s="49"/>
      <c r="AM20" s="49"/>
      <c r="AN20" s="49"/>
      <c r="AO20" s="49"/>
      <c r="AP20" s="54"/>
      <c r="AQ20" s="54"/>
      <c r="AR20" s="54"/>
      <c r="AS20" s="58">
        <v>4</v>
      </c>
      <c r="AT20" s="56">
        <v>1.59</v>
      </c>
      <c r="AU20" s="54"/>
      <c r="AV20" s="54"/>
      <c r="AW20" s="54"/>
      <c r="AX20" s="54"/>
      <c r="AY20" s="54"/>
      <c r="AZ20" s="54"/>
      <c r="BA20" s="58">
        <v>4</v>
      </c>
      <c r="BB20" s="56"/>
      <c r="BC20" s="54"/>
      <c r="BD20" s="54"/>
      <c r="BE20" s="54"/>
      <c r="BF20" s="54"/>
      <c r="BG20" s="54"/>
      <c r="BH20" s="54"/>
      <c r="BI20" s="58">
        <v>4</v>
      </c>
      <c r="BJ20" s="56"/>
      <c r="BK20" s="54"/>
      <c r="BL20" s="54"/>
      <c r="BM20" s="54"/>
    </row>
    <row r="21" spans="1:65" ht="19.2" thickTop="1" thickBot="1">
      <c r="A21" s="15" t="s">
        <v>20</v>
      </c>
      <c r="B21" s="16" t="s">
        <v>60</v>
      </c>
      <c r="C21" s="17"/>
      <c r="M21" s="7" t="s">
        <v>44</v>
      </c>
      <c r="N21" s="40">
        <v>3.5110000000000002E-2</v>
      </c>
      <c r="O21" s="41" t="s">
        <v>10</v>
      </c>
      <c r="P21" s="40">
        <v>6.9599999999999995E-2</v>
      </c>
      <c r="Q21" s="41" t="s">
        <v>10</v>
      </c>
      <c r="R21" s="40">
        <v>0.11700000000000001</v>
      </c>
      <c r="S21" s="41" t="s">
        <v>10</v>
      </c>
      <c r="T21" s="40">
        <v>0.49199999999999999</v>
      </c>
      <c r="U21" s="41" t="s">
        <v>10</v>
      </c>
      <c r="V21" s="40">
        <v>0.49299999999999999</v>
      </c>
      <c r="W21" s="41" t="s">
        <v>10</v>
      </c>
      <c r="X21" s="40">
        <v>0.49399999999999999</v>
      </c>
      <c r="Y21" s="41" t="s">
        <v>10</v>
      </c>
      <c r="AA21" s="49"/>
      <c r="AB21" s="53">
        <v>3</v>
      </c>
      <c r="AC21" s="51">
        <v>4.5</v>
      </c>
      <c r="AD21" s="49"/>
      <c r="AE21" s="49"/>
      <c r="AF21" s="53">
        <v>3</v>
      </c>
      <c r="AG21" s="51">
        <v>0.7</v>
      </c>
      <c r="AH21" s="49"/>
      <c r="AI21" s="49"/>
      <c r="AJ21" s="53">
        <v>3</v>
      </c>
      <c r="AK21" s="51">
        <v>1.32</v>
      </c>
      <c r="AL21" s="49"/>
      <c r="AM21" s="49"/>
      <c r="AN21" s="49"/>
      <c r="AO21" s="49"/>
      <c r="AP21" s="54"/>
      <c r="AQ21" s="54"/>
      <c r="AR21" s="54"/>
      <c r="AS21" s="58">
        <v>3</v>
      </c>
      <c r="AT21" s="56">
        <v>1.246</v>
      </c>
      <c r="AU21" s="54"/>
      <c r="AV21" s="54"/>
      <c r="AW21" s="54"/>
      <c r="AX21" s="54"/>
      <c r="AY21" s="54"/>
      <c r="AZ21" s="54"/>
      <c r="BA21" s="58">
        <v>3</v>
      </c>
      <c r="BB21" s="56"/>
      <c r="BC21" s="54"/>
      <c r="BD21" s="54"/>
      <c r="BE21" s="54"/>
      <c r="BF21" s="54"/>
      <c r="BG21" s="54"/>
      <c r="BH21" s="54"/>
      <c r="BI21" s="58">
        <v>3</v>
      </c>
      <c r="BJ21" s="56"/>
      <c r="BK21" s="54"/>
      <c r="BL21" s="54"/>
      <c r="BM21" s="54"/>
    </row>
    <row r="22" spans="1:65" ht="19.2" thickTop="1" thickBot="1">
      <c r="A22" s="18" t="s">
        <v>22</v>
      </c>
      <c r="B22" s="13">
        <v>5</v>
      </c>
      <c r="C22" s="19" t="s">
        <v>3</v>
      </c>
      <c r="M22" s="7" t="s">
        <v>48</v>
      </c>
      <c r="N22" s="40">
        <v>100</v>
      </c>
      <c r="O22" s="42" t="s">
        <v>39</v>
      </c>
      <c r="P22" s="40">
        <v>50</v>
      </c>
      <c r="Q22" s="42" t="s">
        <v>39</v>
      </c>
      <c r="R22" s="43">
        <v>30</v>
      </c>
      <c r="S22" s="42" t="s">
        <v>39</v>
      </c>
      <c r="T22" s="40">
        <v>7</v>
      </c>
      <c r="U22" s="42" t="s">
        <v>39</v>
      </c>
      <c r="V22" s="40">
        <v>5</v>
      </c>
      <c r="W22" s="42" t="s">
        <v>39</v>
      </c>
      <c r="X22" s="40">
        <v>1</v>
      </c>
      <c r="Y22" s="42" t="s">
        <v>39</v>
      </c>
      <c r="AA22" s="49"/>
      <c r="AB22" s="53">
        <v>2</v>
      </c>
      <c r="AC22" s="51">
        <v>4.46</v>
      </c>
      <c r="AD22" s="49"/>
      <c r="AE22" s="49"/>
      <c r="AF22" s="53">
        <v>2</v>
      </c>
      <c r="AG22" s="51">
        <v>0.64400000000000002</v>
      </c>
      <c r="AH22" s="49"/>
      <c r="AI22" s="49"/>
      <c r="AJ22" s="53">
        <v>2</v>
      </c>
      <c r="AK22" s="51">
        <v>0.96699999999999997</v>
      </c>
      <c r="AL22" s="49"/>
      <c r="AM22" s="49"/>
      <c r="AN22" s="49"/>
      <c r="AO22" s="49"/>
      <c r="AP22" s="54"/>
      <c r="AQ22" s="54"/>
      <c r="AR22" s="54"/>
      <c r="AS22" s="58">
        <v>2</v>
      </c>
      <c r="AT22" s="56">
        <v>0.878</v>
      </c>
      <c r="AU22" s="54"/>
      <c r="AV22" s="54"/>
      <c r="AW22" s="54"/>
      <c r="AX22" s="54"/>
      <c r="AY22" s="54"/>
      <c r="AZ22" s="54"/>
      <c r="BA22" s="58">
        <v>2</v>
      </c>
      <c r="BB22" s="56"/>
      <c r="BC22" s="54"/>
      <c r="BD22" s="54"/>
      <c r="BE22" s="54"/>
      <c r="BF22" s="54"/>
      <c r="BG22" s="54"/>
      <c r="BH22" s="54"/>
      <c r="BI22" s="58">
        <v>2</v>
      </c>
      <c r="BJ22" s="56"/>
      <c r="BK22" s="54"/>
      <c r="BL22" s="54"/>
      <c r="BM22" s="54"/>
    </row>
    <row r="23" spans="1:65" ht="19.2" thickTop="1" thickBot="1">
      <c r="A23" s="18" t="s">
        <v>23</v>
      </c>
      <c r="B23" s="13">
        <f>B6-(B27*0.6)</f>
        <v>4.7</v>
      </c>
      <c r="C23" s="20" t="s">
        <v>3</v>
      </c>
      <c r="M23" s="7" t="s">
        <v>8</v>
      </c>
      <c r="N23" s="40">
        <v>1.7549999999999999</v>
      </c>
      <c r="O23" s="44" t="s">
        <v>3</v>
      </c>
      <c r="P23" s="40">
        <v>1.7549999999999999</v>
      </c>
      <c r="Q23" s="44" t="s">
        <v>3</v>
      </c>
      <c r="R23" s="43">
        <v>1.7549999999999999</v>
      </c>
      <c r="S23" s="44" t="s">
        <v>3</v>
      </c>
      <c r="T23" s="40">
        <v>1.7549999999999999</v>
      </c>
      <c r="U23" s="44" t="s">
        <v>3</v>
      </c>
      <c r="V23" s="40">
        <v>1.7549999999999999</v>
      </c>
      <c r="W23" s="44" t="s">
        <v>3</v>
      </c>
      <c r="X23" s="40">
        <v>1.7549999999999999</v>
      </c>
      <c r="Y23" s="44" t="s">
        <v>3</v>
      </c>
      <c r="AA23" s="49"/>
      <c r="AB23" s="53">
        <v>1</v>
      </c>
      <c r="AC23" s="51">
        <v>4.4210000000000003</v>
      </c>
      <c r="AD23" s="49"/>
      <c r="AE23" s="49"/>
      <c r="AF23" s="53">
        <v>1</v>
      </c>
      <c r="AG23" s="51">
        <v>0.6</v>
      </c>
      <c r="AH23" s="49"/>
      <c r="AI23" s="49"/>
      <c r="AJ23" s="53">
        <v>1</v>
      </c>
      <c r="AK23" s="51">
        <v>0.55400000000000005</v>
      </c>
      <c r="AL23" s="49"/>
      <c r="AM23" s="49"/>
      <c r="AN23" s="49"/>
      <c r="AO23" s="49"/>
      <c r="AP23" s="54"/>
      <c r="AQ23" s="54"/>
      <c r="AR23" s="54"/>
      <c r="AS23" s="58">
        <v>1</v>
      </c>
      <c r="AT23" s="56">
        <v>0.46800000000000003</v>
      </c>
      <c r="AU23" s="54"/>
      <c r="AV23" s="54"/>
      <c r="AW23" s="54"/>
      <c r="AX23" s="54"/>
      <c r="AY23" s="54"/>
      <c r="AZ23" s="54"/>
      <c r="BA23" s="58">
        <v>1</v>
      </c>
      <c r="BB23" s="56"/>
      <c r="BC23" s="54"/>
      <c r="BD23" s="54"/>
      <c r="BE23" s="54"/>
      <c r="BF23" s="54"/>
      <c r="BG23" s="54"/>
      <c r="BH23" s="54"/>
      <c r="BI23" s="58">
        <v>1</v>
      </c>
      <c r="BJ23" s="56"/>
      <c r="BK23" s="54"/>
      <c r="BL23" s="54"/>
      <c r="BM23" s="54"/>
    </row>
    <row r="24" spans="1:65" ht="19.2" thickTop="1" thickBot="1">
      <c r="A24" s="21" t="s">
        <v>42</v>
      </c>
      <c r="B24" s="13">
        <f>5</f>
        <v>5</v>
      </c>
      <c r="C24" s="20" t="s">
        <v>3</v>
      </c>
      <c r="H24" s="22"/>
      <c r="I24" s="23"/>
      <c r="M24" s="7" t="s">
        <v>45</v>
      </c>
      <c r="N24" s="40">
        <v>1.7549999999999999</v>
      </c>
      <c r="O24" s="32" t="s">
        <v>3</v>
      </c>
      <c r="P24" s="40">
        <v>1.7549999999999999</v>
      </c>
      <c r="Q24" s="32" t="s">
        <v>3</v>
      </c>
      <c r="R24" s="40">
        <v>1.7749999999999999</v>
      </c>
      <c r="S24" s="32" t="s">
        <v>3</v>
      </c>
      <c r="T24" s="40">
        <v>1.7250000000000001</v>
      </c>
      <c r="U24" s="32" t="s">
        <v>3</v>
      </c>
      <c r="V24" s="40">
        <v>1.2330000000000001</v>
      </c>
      <c r="W24" s="32" t="s">
        <v>3</v>
      </c>
      <c r="X24" s="40">
        <v>0.247</v>
      </c>
      <c r="Y24" s="32" t="s">
        <v>3</v>
      </c>
      <c r="AA24" s="49"/>
      <c r="AB24" s="53">
        <v>0.05</v>
      </c>
      <c r="AC24" s="51">
        <v>4.3840000000000003</v>
      </c>
      <c r="AD24" s="49"/>
      <c r="AE24" s="49"/>
      <c r="AF24" s="53">
        <v>0.05</v>
      </c>
      <c r="AG24" s="51">
        <v>0.55000000000000004</v>
      </c>
      <c r="AH24" s="49"/>
      <c r="AI24" s="49"/>
      <c r="AJ24" s="53">
        <v>0.05</v>
      </c>
      <c r="AK24" s="51">
        <v>0.12</v>
      </c>
      <c r="AL24" s="49"/>
      <c r="AM24" s="49"/>
      <c r="AN24" s="49"/>
      <c r="AO24" s="49"/>
      <c r="AP24" s="54"/>
      <c r="AQ24" s="54"/>
      <c r="AR24" s="54"/>
      <c r="AS24" s="58">
        <v>0.05</v>
      </c>
      <c r="AT24" s="56">
        <v>2.4E-2</v>
      </c>
      <c r="AU24" s="54"/>
      <c r="AV24" s="54"/>
      <c r="AW24" s="54"/>
      <c r="AX24" s="54"/>
      <c r="AY24" s="54"/>
      <c r="AZ24" s="54"/>
      <c r="BA24" s="58">
        <v>0.05</v>
      </c>
      <c r="BB24" s="56"/>
      <c r="BC24" s="54"/>
      <c r="BD24" s="54"/>
      <c r="BE24" s="54"/>
      <c r="BF24" s="54"/>
      <c r="BG24" s="54"/>
      <c r="BH24" s="54"/>
      <c r="BI24" s="58">
        <v>0.05</v>
      </c>
      <c r="BJ24" s="56"/>
      <c r="BK24" s="54"/>
      <c r="BL24" s="54"/>
      <c r="BM24" s="54"/>
    </row>
    <row r="25" spans="1:65" ht="19.2" thickTop="1" thickBot="1">
      <c r="A25" s="12" t="s">
        <v>24</v>
      </c>
      <c r="B25" s="13">
        <v>2.5</v>
      </c>
      <c r="C25" s="24" t="s">
        <v>3</v>
      </c>
      <c r="M25" s="7" t="s">
        <v>49</v>
      </c>
      <c r="N25" s="40">
        <v>-1.466</v>
      </c>
      <c r="O25" s="32" t="s">
        <v>3</v>
      </c>
      <c r="P25" s="40">
        <v>-1.44</v>
      </c>
      <c r="Q25" s="32" t="s">
        <v>3</v>
      </c>
      <c r="R25" s="40">
        <v>-1.4179999999999999</v>
      </c>
      <c r="S25" s="32" t="s">
        <v>3</v>
      </c>
      <c r="T25" s="40">
        <v>-1.25</v>
      </c>
      <c r="U25" s="32" t="s">
        <v>3</v>
      </c>
      <c r="V25" s="40">
        <v>-2.23</v>
      </c>
      <c r="W25" s="32" t="s">
        <v>3</v>
      </c>
      <c r="X25" s="40">
        <v>-4.2</v>
      </c>
      <c r="Y25" s="32" t="s">
        <v>3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</row>
    <row r="26" spans="1:65" ht="19.2" thickTop="1" thickBot="1">
      <c r="A26" s="12" t="s">
        <v>25</v>
      </c>
      <c r="B26" s="13">
        <v>3.5</v>
      </c>
      <c r="C26" s="20" t="s">
        <v>3</v>
      </c>
      <c r="M26" s="45" t="s">
        <v>46</v>
      </c>
      <c r="N26" s="40">
        <f>ABS(N25*N21)</f>
        <v>5.1471260000000005E-2</v>
      </c>
      <c r="O26" s="32" t="s">
        <v>4</v>
      </c>
      <c r="P26" s="40">
        <f t="shared" ref="P26:X26" si="5">ABS(P25*P21)</f>
        <v>0.10022399999999999</v>
      </c>
      <c r="Q26" s="32" t="s">
        <v>4</v>
      </c>
      <c r="R26" s="40">
        <f t="shared" si="5"/>
        <v>0.165906</v>
      </c>
      <c r="S26" s="32" t="s">
        <v>4</v>
      </c>
      <c r="T26" s="40">
        <f t="shared" si="5"/>
        <v>0.61499999999999999</v>
      </c>
      <c r="U26" s="32" t="s">
        <v>4</v>
      </c>
      <c r="V26" s="40">
        <f t="shared" si="5"/>
        <v>1.0993899999999999</v>
      </c>
      <c r="W26" s="32" t="s">
        <v>4</v>
      </c>
      <c r="X26" s="40">
        <f t="shared" si="5"/>
        <v>2.0748000000000002</v>
      </c>
      <c r="Y26" s="32" t="s">
        <v>4</v>
      </c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</row>
    <row r="27" spans="1:65" ht="19.2" thickTop="1" thickBot="1">
      <c r="A27" s="25" t="s">
        <v>21</v>
      </c>
      <c r="B27" s="13">
        <v>0.5</v>
      </c>
      <c r="C27" s="26" t="s">
        <v>10</v>
      </c>
      <c r="M27" s="45" t="s">
        <v>47</v>
      </c>
      <c r="N27" s="40">
        <f>0.6*N21</f>
        <v>2.1066000000000001E-2</v>
      </c>
      <c r="O27" s="32" t="s">
        <v>3</v>
      </c>
      <c r="P27" s="40">
        <f>0.6*P21</f>
        <v>4.1759999999999999E-2</v>
      </c>
      <c r="Q27" s="32" t="s">
        <v>3</v>
      </c>
      <c r="R27" s="40">
        <f>0.6*R21</f>
        <v>7.0199999999999999E-2</v>
      </c>
      <c r="S27" s="32" t="s">
        <v>3</v>
      </c>
      <c r="T27" s="40">
        <f>0.6*T21</f>
        <v>0.29519999999999996</v>
      </c>
      <c r="U27" s="32" t="s">
        <v>3</v>
      </c>
      <c r="V27" s="40">
        <f>0.6*V21</f>
        <v>0.29580000000000001</v>
      </c>
      <c r="W27" s="32" t="s">
        <v>3</v>
      </c>
      <c r="X27" s="40">
        <f>0.6*X21</f>
        <v>0.2964</v>
      </c>
      <c r="Y27" s="32" t="s">
        <v>3</v>
      </c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</row>
    <row r="28" spans="1:65" ht="19.2" thickTop="1" thickBot="1">
      <c r="A28" s="21" t="s">
        <v>27</v>
      </c>
      <c r="B28" s="13">
        <f>ABS((B23-B25)*B27)</f>
        <v>1.1000000000000001</v>
      </c>
      <c r="C28" s="27" t="s">
        <v>4</v>
      </c>
      <c r="AA28" s="49"/>
      <c r="AB28" s="49" t="s">
        <v>66</v>
      </c>
      <c r="AC28" s="49"/>
      <c r="AD28" s="49"/>
      <c r="AE28" s="49"/>
      <c r="AF28" s="49" t="s">
        <v>68</v>
      </c>
      <c r="AG28" s="49"/>
      <c r="AH28" s="49"/>
      <c r="AI28" s="49"/>
      <c r="AJ28" s="49" t="s">
        <v>67</v>
      </c>
      <c r="AK28" s="49"/>
      <c r="AL28" s="49"/>
      <c r="AM28" s="49"/>
      <c r="AN28" s="49"/>
      <c r="AO28" s="49"/>
      <c r="AP28" s="54"/>
      <c r="AQ28" s="54"/>
      <c r="AR28" s="54"/>
      <c r="AS28" s="54" t="s">
        <v>71</v>
      </c>
      <c r="AT28" s="54"/>
      <c r="AU28" s="54"/>
      <c r="AV28" s="54"/>
      <c r="AW28" s="54"/>
      <c r="AX28" s="54"/>
      <c r="AY28" s="54"/>
      <c r="AZ28" s="54"/>
      <c r="BA28" s="54" t="s">
        <v>71</v>
      </c>
      <c r="BB28" s="54"/>
      <c r="BC28" s="54"/>
      <c r="BD28" s="54"/>
      <c r="BE28" s="54"/>
      <c r="BF28" s="54"/>
      <c r="BG28" s="54"/>
      <c r="BH28" s="54"/>
      <c r="BI28" s="54" t="s">
        <v>71</v>
      </c>
      <c r="BJ28" s="54"/>
      <c r="BK28" s="54"/>
      <c r="BL28" s="54"/>
      <c r="BM28" s="54"/>
    </row>
    <row r="29" spans="1:65" ht="19.2" thickTop="1" thickBot="1">
      <c r="A29" s="21" t="s">
        <v>28</v>
      </c>
      <c r="B29" s="13">
        <f>ABS((B23-B26)*B27)</f>
        <v>0.60000000000000009</v>
      </c>
      <c r="C29" s="20" t="s">
        <v>4</v>
      </c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</row>
    <row r="30" spans="1:65" ht="19.2" thickTop="1" thickBot="1">
      <c r="M30" s="1" t="s">
        <v>62</v>
      </c>
      <c r="AA30" s="49"/>
      <c r="AB30" s="50" t="s">
        <v>63</v>
      </c>
      <c r="AC30" s="50" t="s">
        <v>69</v>
      </c>
      <c r="AD30" s="49"/>
      <c r="AE30" s="49"/>
      <c r="AF30" s="50" t="s">
        <v>63</v>
      </c>
      <c r="AG30" s="50" t="s">
        <v>69</v>
      </c>
      <c r="AH30" s="49"/>
      <c r="AI30" s="49"/>
      <c r="AJ30" s="50" t="s">
        <v>63</v>
      </c>
      <c r="AK30" s="50" t="s">
        <v>69</v>
      </c>
      <c r="AL30" s="49"/>
      <c r="AM30" s="49"/>
      <c r="AN30" s="49"/>
      <c r="AO30" s="49"/>
      <c r="AP30" s="54"/>
      <c r="AQ30" s="54" t="s">
        <v>77</v>
      </c>
      <c r="AR30" s="54"/>
      <c r="AS30" s="55" t="s">
        <v>63</v>
      </c>
      <c r="AT30" s="55" t="s">
        <v>72</v>
      </c>
      <c r="AU30" s="54"/>
      <c r="AV30" s="54"/>
      <c r="AW30" s="54"/>
      <c r="AX30" s="54"/>
      <c r="AY30" s="54" t="s">
        <v>78</v>
      </c>
      <c r="AZ30" s="54"/>
      <c r="BA30" s="55" t="s">
        <v>63</v>
      </c>
      <c r="BB30" s="55" t="s">
        <v>72</v>
      </c>
      <c r="BC30" s="54"/>
      <c r="BD30" s="54"/>
      <c r="BE30" s="54"/>
      <c r="BF30" s="54"/>
      <c r="BG30" s="54" t="s">
        <v>79</v>
      </c>
      <c r="BH30" s="54"/>
      <c r="BI30" s="55" t="s">
        <v>63</v>
      </c>
      <c r="BJ30" s="55" t="s">
        <v>72</v>
      </c>
      <c r="BK30" s="54"/>
      <c r="BL30" s="54"/>
      <c r="BM30" s="54"/>
    </row>
    <row r="31" spans="1:65" ht="19.2" thickTop="1" thickBot="1">
      <c r="AA31" s="49"/>
      <c r="AB31" s="51">
        <v>100</v>
      </c>
      <c r="AC31" s="51">
        <v>4.9400000000000004</v>
      </c>
      <c r="AD31" s="49"/>
      <c r="AE31" s="49"/>
      <c r="AF31" s="51">
        <v>100</v>
      </c>
      <c r="AG31" s="51">
        <v>1.4710000000000001</v>
      </c>
      <c r="AH31" s="49"/>
      <c r="AI31" s="49"/>
      <c r="AJ31" s="51">
        <v>100</v>
      </c>
      <c r="AK31" s="51">
        <v>4.9960000000000004</v>
      </c>
      <c r="AL31" s="49"/>
      <c r="AM31" s="49"/>
      <c r="AN31" s="49"/>
      <c r="AO31" s="49"/>
      <c r="AP31" s="54"/>
      <c r="AQ31" s="54"/>
      <c r="AR31" s="54"/>
      <c r="AS31" s="56">
        <v>100</v>
      </c>
      <c r="AT31" s="56">
        <v>3.4000000000000002E-2</v>
      </c>
      <c r="AU31" s="54"/>
      <c r="AV31" s="54"/>
      <c r="AW31" s="54"/>
      <c r="AX31" s="54"/>
      <c r="AY31" s="54"/>
      <c r="AZ31" s="54"/>
      <c r="BA31" s="56">
        <v>100</v>
      </c>
      <c r="BB31" s="56"/>
      <c r="BC31" s="54"/>
      <c r="BD31" s="54"/>
      <c r="BE31" s="54"/>
      <c r="BF31" s="54"/>
      <c r="BG31" s="54"/>
      <c r="BH31" s="54"/>
      <c r="BI31" s="56">
        <v>100</v>
      </c>
      <c r="BJ31" s="56"/>
      <c r="BK31" s="54"/>
      <c r="BL31" s="54"/>
      <c r="BM31" s="54"/>
    </row>
    <row r="32" spans="1:65" ht="19.2" thickTop="1" thickBot="1">
      <c r="M32" s="3" t="s">
        <v>0</v>
      </c>
      <c r="N32" s="3" t="s">
        <v>1</v>
      </c>
      <c r="O32" s="3" t="s">
        <v>5</v>
      </c>
      <c r="P32" s="3" t="s">
        <v>1</v>
      </c>
      <c r="Q32" s="3" t="s">
        <v>5</v>
      </c>
      <c r="R32" s="3" t="s">
        <v>1</v>
      </c>
      <c r="S32" s="3" t="s">
        <v>5</v>
      </c>
      <c r="T32" s="3" t="s">
        <v>1</v>
      </c>
      <c r="U32" s="3" t="s">
        <v>5</v>
      </c>
      <c r="V32" s="3" t="s">
        <v>1</v>
      </c>
      <c r="W32" s="3" t="s">
        <v>5</v>
      </c>
      <c r="X32" s="3" t="s">
        <v>1</v>
      </c>
      <c r="Y32" s="3" t="s">
        <v>5</v>
      </c>
      <c r="AA32" s="49"/>
      <c r="AB32" s="52">
        <v>90</v>
      </c>
      <c r="AC32" s="51">
        <v>4.9400000000000004</v>
      </c>
      <c r="AD32" s="49"/>
      <c r="AE32" s="49"/>
      <c r="AF32" s="52">
        <v>90</v>
      </c>
      <c r="AG32" s="51">
        <v>1.452</v>
      </c>
      <c r="AH32" s="49"/>
      <c r="AI32" s="49"/>
      <c r="AJ32" s="52">
        <v>90</v>
      </c>
      <c r="AK32" s="51">
        <v>4.9930000000000003</v>
      </c>
      <c r="AL32" s="49"/>
      <c r="AM32" s="49"/>
      <c r="AN32" s="49"/>
      <c r="AO32" s="49"/>
      <c r="AP32" s="54"/>
      <c r="AQ32" s="54"/>
      <c r="AR32" s="54"/>
      <c r="AS32" s="57">
        <v>90</v>
      </c>
      <c r="AT32" s="56">
        <v>3.7999999999999999E-2</v>
      </c>
      <c r="AU32" s="54"/>
      <c r="AV32" s="54"/>
      <c r="AW32" s="54"/>
      <c r="AX32" s="54"/>
      <c r="AY32" s="54"/>
      <c r="AZ32" s="54"/>
      <c r="BA32" s="57">
        <v>90</v>
      </c>
      <c r="BB32" s="56"/>
      <c r="BC32" s="54"/>
      <c r="BD32" s="54"/>
      <c r="BE32" s="54"/>
      <c r="BF32" s="54"/>
      <c r="BG32" s="54"/>
      <c r="BH32" s="54"/>
      <c r="BI32" s="57">
        <v>90</v>
      </c>
      <c r="BJ32" s="56"/>
      <c r="BK32" s="54"/>
      <c r="BL32" s="54"/>
      <c r="BM32" s="54"/>
    </row>
    <row r="33" spans="1:65" ht="19.2" thickTop="1" thickBot="1">
      <c r="M33" s="4" t="s">
        <v>9</v>
      </c>
      <c r="N33" s="31">
        <v>5</v>
      </c>
      <c r="O33" s="32" t="s">
        <v>3</v>
      </c>
      <c r="P33" s="31">
        <v>5</v>
      </c>
      <c r="Q33" s="32" t="s">
        <v>3</v>
      </c>
      <c r="R33" s="33">
        <v>5</v>
      </c>
      <c r="S33" s="32" t="s">
        <v>3</v>
      </c>
      <c r="T33" s="31">
        <v>5</v>
      </c>
      <c r="U33" s="32" t="s">
        <v>3</v>
      </c>
      <c r="V33" s="31">
        <v>5</v>
      </c>
      <c r="W33" s="34" t="s">
        <v>3</v>
      </c>
      <c r="X33" s="31">
        <v>5</v>
      </c>
      <c r="Y33" s="34" t="s">
        <v>3</v>
      </c>
      <c r="AA33" s="49"/>
      <c r="AB33" s="53">
        <v>80</v>
      </c>
      <c r="AC33" s="51">
        <v>4.93</v>
      </c>
      <c r="AD33" s="49"/>
      <c r="AE33" s="49"/>
      <c r="AF33" s="53">
        <v>80</v>
      </c>
      <c r="AG33" s="51">
        <v>1.431</v>
      </c>
      <c r="AH33" s="49"/>
      <c r="AI33" s="49"/>
      <c r="AJ33" s="53">
        <v>80</v>
      </c>
      <c r="AK33" s="51">
        <v>4.99</v>
      </c>
      <c r="AL33" s="49"/>
      <c r="AM33" s="49"/>
      <c r="AN33" s="49"/>
      <c r="AO33" s="49"/>
      <c r="AP33" s="54"/>
      <c r="AQ33" s="54"/>
      <c r="AR33" s="54"/>
      <c r="AS33" s="58">
        <v>80</v>
      </c>
      <c r="AT33" s="56">
        <v>4.2999999999999997E-2</v>
      </c>
      <c r="AU33" s="54"/>
      <c r="AV33" s="54"/>
      <c r="AW33" s="54"/>
      <c r="AX33" s="54"/>
      <c r="AY33" s="54"/>
      <c r="AZ33" s="54"/>
      <c r="BA33" s="58">
        <v>80</v>
      </c>
      <c r="BB33" s="56"/>
      <c r="BC33" s="54"/>
      <c r="BD33" s="54"/>
      <c r="BE33" s="54"/>
      <c r="BF33" s="54"/>
      <c r="BG33" s="54"/>
      <c r="BH33" s="54"/>
      <c r="BI33" s="58">
        <v>80</v>
      </c>
      <c r="BJ33" s="56"/>
      <c r="BK33" s="54"/>
      <c r="BL33" s="54"/>
      <c r="BM33" s="54"/>
    </row>
    <row r="34" spans="1:65" ht="18.600000000000001" thickTop="1">
      <c r="M34" s="38" t="s">
        <v>7</v>
      </c>
      <c r="N34" s="39">
        <v>3.488</v>
      </c>
      <c r="O34" s="32" t="s">
        <v>3</v>
      </c>
      <c r="P34" s="39">
        <v>3.476</v>
      </c>
      <c r="Q34" s="32" t="s">
        <v>3</v>
      </c>
      <c r="R34" s="39">
        <v>3.4660000000000002</v>
      </c>
      <c r="S34" s="32" t="s">
        <v>3</v>
      </c>
      <c r="T34" s="39">
        <v>3.3889999999999998</v>
      </c>
      <c r="U34" s="32" t="s">
        <v>3</v>
      </c>
      <c r="V34" s="39">
        <v>1.964</v>
      </c>
      <c r="W34" s="32" t="s">
        <v>3</v>
      </c>
      <c r="X34" s="39">
        <v>0.46800000000000003</v>
      </c>
      <c r="Y34" s="32" t="s">
        <v>3</v>
      </c>
      <c r="AA34" s="49"/>
      <c r="AB34" s="53">
        <v>70</v>
      </c>
      <c r="AC34" s="51">
        <v>4.93</v>
      </c>
      <c r="AD34" s="49"/>
      <c r="AE34" s="49"/>
      <c r="AF34" s="53">
        <v>70</v>
      </c>
      <c r="AG34" s="51">
        <v>1.4039999999999999</v>
      </c>
      <c r="AH34" s="49"/>
      <c r="AI34" s="49"/>
      <c r="AJ34" s="53">
        <v>70</v>
      </c>
      <c r="AK34" s="51">
        <v>4.99</v>
      </c>
      <c r="AL34" s="49"/>
      <c r="AM34" s="49"/>
      <c r="AN34" s="49"/>
      <c r="AO34" s="49"/>
      <c r="AP34" s="54"/>
      <c r="AQ34" s="54"/>
      <c r="AR34" s="54"/>
      <c r="AS34" s="58">
        <v>70</v>
      </c>
      <c r="AT34" s="56">
        <v>4.9000000000000002E-2</v>
      </c>
      <c r="AU34" s="54"/>
      <c r="AV34" s="54"/>
      <c r="AW34" s="54"/>
      <c r="AX34" s="54"/>
      <c r="AY34" s="54"/>
      <c r="AZ34" s="54"/>
      <c r="BA34" s="58">
        <v>70</v>
      </c>
      <c r="BB34" s="56"/>
      <c r="BC34" s="54"/>
      <c r="BD34" s="54"/>
      <c r="BE34" s="54"/>
      <c r="BF34" s="54"/>
      <c r="BG34" s="54"/>
      <c r="BH34" s="54"/>
      <c r="BI34" s="58">
        <v>70</v>
      </c>
      <c r="BJ34" s="56"/>
      <c r="BK34" s="54"/>
      <c r="BL34" s="54"/>
      <c r="BM34" s="54"/>
    </row>
    <row r="35" spans="1:65" ht="18.600000000000001" thickBot="1">
      <c r="A35" s="1" t="s">
        <v>29</v>
      </c>
      <c r="M35" s="7" t="s">
        <v>44</v>
      </c>
      <c r="N35" s="40">
        <v>3.4000000000000002E-2</v>
      </c>
      <c r="O35" s="41" t="s">
        <v>10</v>
      </c>
      <c r="P35" s="40">
        <v>6.9000000000000006E-2</v>
      </c>
      <c r="Q35" s="41" t="s">
        <v>10</v>
      </c>
      <c r="R35" s="40">
        <v>0.115</v>
      </c>
      <c r="S35" s="41" t="s">
        <v>10</v>
      </c>
      <c r="T35" s="40">
        <v>0.48399999999999999</v>
      </c>
      <c r="U35" s="41" t="s">
        <v>10</v>
      </c>
      <c r="V35" s="40">
        <v>0.39100000000000001</v>
      </c>
      <c r="W35" s="41" t="s">
        <v>10</v>
      </c>
      <c r="X35" s="40">
        <v>0.49399999999999999</v>
      </c>
      <c r="Y35" s="41" t="s">
        <v>10</v>
      </c>
      <c r="AA35" s="49"/>
      <c r="AB35" s="53">
        <v>60</v>
      </c>
      <c r="AC35" s="53">
        <v>4.92</v>
      </c>
      <c r="AD35" s="49"/>
      <c r="AE35" s="49"/>
      <c r="AF35" s="53">
        <v>60</v>
      </c>
      <c r="AG35" s="53">
        <v>1.377</v>
      </c>
      <c r="AH35" s="49"/>
      <c r="AI35" s="49"/>
      <c r="AJ35" s="53">
        <v>60</v>
      </c>
      <c r="AK35" s="53">
        <v>4.99</v>
      </c>
      <c r="AL35" s="49"/>
      <c r="AM35" s="49"/>
      <c r="AN35" s="49"/>
      <c r="AO35" s="49"/>
      <c r="AP35" s="54"/>
      <c r="AQ35" s="54"/>
      <c r="AR35" s="54"/>
      <c r="AS35" s="58">
        <v>60</v>
      </c>
      <c r="AT35" s="58">
        <v>5.7000000000000002E-2</v>
      </c>
      <c r="AU35" s="54"/>
      <c r="AV35" s="54"/>
      <c r="AW35" s="54"/>
      <c r="AX35" s="54"/>
      <c r="AY35" s="54"/>
      <c r="AZ35" s="54"/>
      <c r="BA35" s="58">
        <v>60</v>
      </c>
      <c r="BB35" s="58"/>
      <c r="BC35" s="54"/>
      <c r="BD35" s="54"/>
      <c r="BE35" s="54"/>
      <c r="BF35" s="54"/>
      <c r="BG35" s="54"/>
      <c r="BH35" s="54"/>
      <c r="BI35" s="58">
        <v>60</v>
      </c>
      <c r="BJ35" s="58"/>
      <c r="BK35" s="54"/>
      <c r="BL35" s="54"/>
      <c r="BM35" s="54"/>
    </row>
    <row r="36" spans="1:65" ht="19.2" thickTop="1" thickBot="1">
      <c r="M36" s="7" t="s">
        <v>48</v>
      </c>
      <c r="N36" s="40">
        <v>100</v>
      </c>
      <c r="O36" s="42" t="s">
        <v>39</v>
      </c>
      <c r="P36" s="40">
        <v>50</v>
      </c>
      <c r="Q36" s="42" t="s">
        <v>39</v>
      </c>
      <c r="R36" s="43">
        <v>30</v>
      </c>
      <c r="S36" s="42" t="s">
        <v>39</v>
      </c>
      <c r="T36" s="40">
        <v>7</v>
      </c>
      <c r="U36" s="42" t="s">
        <v>39</v>
      </c>
      <c r="V36" s="40">
        <v>5</v>
      </c>
      <c r="W36" s="42" t="s">
        <v>39</v>
      </c>
      <c r="X36" s="40">
        <v>1</v>
      </c>
      <c r="Y36" s="42" t="s">
        <v>39</v>
      </c>
      <c r="AA36" s="49"/>
      <c r="AB36" s="53">
        <v>50</v>
      </c>
      <c r="AC36" s="51">
        <v>4.9080000000000004</v>
      </c>
      <c r="AD36" s="49"/>
      <c r="AE36" s="49"/>
      <c r="AF36" s="53">
        <v>50</v>
      </c>
      <c r="AG36" s="51">
        <v>1.3360000000000001</v>
      </c>
      <c r="AH36" s="49"/>
      <c r="AI36" s="49"/>
      <c r="AJ36" s="53">
        <v>50</v>
      </c>
      <c r="AK36" s="51">
        <v>4.9859999999999998</v>
      </c>
      <c r="AL36" s="49"/>
      <c r="AM36" s="49"/>
      <c r="AN36" s="49"/>
      <c r="AO36" s="49"/>
      <c r="AP36" s="54"/>
      <c r="AQ36" s="54"/>
      <c r="AR36" s="54"/>
      <c r="AS36" s="58">
        <v>50</v>
      </c>
      <c r="AT36" s="56">
        <v>6.9000000000000006E-2</v>
      </c>
      <c r="AU36" s="54"/>
      <c r="AV36" s="54"/>
      <c r="AW36" s="54"/>
      <c r="AX36" s="54"/>
      <c r="AY36" s="54"/>
      <c r="AZ36" s="54"/>
      <c r="BA36" s="58">
        <v>50</v>
      </c>
      <c r="BB36" s="56"/>
      <c r="BC36" s="54"/>
      <c r="BD36" s="54"/>
      <c r="BE36" s="54"/>
      <c r="BF36" s="54"/>
      <c r="BG36" s="54"/>
      <c r="BH36" s="54"/>
      <c r="BI36" s="58">
        <v>50</v>
      </c>
      <c r="BJ36" s="56"/>
      <c r="BK36" s="54"/>
      <c r="BL36" s="54"/>
      <c r="BM36" s="54"/>
    </row>
    <row r="37" spans="1:65" ht="19.2" thickTop="1" thickBot="1">
      <c r="A37" s="3" t="s">
        <v>0</v>
      </c>
      <c r="B37" s="3" t="s">
        <v>1</v>
      </c>
      <c r="C37" s="3" t="s">
        <v>5</v>
      </c>
      <c r="M37" s="7" t="s">
        <v>8</v>
      </c>
      <c r="N37" s="40">
        <v>1.752</v>
      </c>
      <c r="O37" s="44" t="s">
        <v>3</v>
      </c>
      <c r="P37" s="40">
        <v>1.7509999999999999</v>
      </c>
      <c r="Q37" s="44" t="s">
        <v>3</v>
      </c>
      <c r="R37" s="43">
        <v>1.75</v>
      </c>
      <c r="S37" s="44" t="s">
        <v>3</v>
      </c>
      <c r="T37" s="40">
        <v>1.746</v>
      </c>
      <c r="U37" s="44" t="s">
        <v>3</v>
      </c>
      <c r="V37" s="40">
        <v>1.748</v>
      </c>
      <c r="W37" s="44" t="s">
        <v>3</v>
      </c>
      <c r="X37" s="40">
        <v>1.746</v>
      </c>
      <c r="Y37" s="44" t="s">
        <v>3</v>
      </c>
      <c r="AA37" s="49"/>
      <c r="AB37" s="53">
        <v>40</v>
      </c>
      <c r="AC37" s="51">
        <v>4.88</v>
      </c>
      <c r="AD37" s="49"/>
      <c r="AE37" s="49"/>
      <c r="AF37" s="53">
        <v>40</v>
      </c>
      <c r="AG37" s="51">
        <v>1.28</v>
      </c>
      <c r="AH37" s="49"/>
      <c r="AI37" s="49"/>
      <c r="AJ37" s="53">
        <v>40</v>
      </c>
      <c r="AK37" s="51">
        <v>4.9829999999999997</v>
      </c>
      <c r="AL37" s="49"/>
      <c r="AM37" s="49"/>
      <c r="AN37" s="49"/>
      <c r="AO37" s="49"/>
      <c r="AP37" s="54"/>
      <c r="AQ37" s="54"/>
      <c r="AR37" s="54"/>
      <c r="AS37" s="58">
        <v>40</v>
      </c>
      <c r="AT37" s="56">
        <v>8.5999999999999993E-2</v>
      </c>
      <c r="AU37" s="54"/>
      <c r="AV37" s="54"/>
      <c r="AW37" s="54"/>
      <c r="AX37" s="54"/>
      <c r="AY37" s="54"/>
      <c r="AZ37" s="54"/>
      <c r="BA37" s="58">
        <v>40</v>
      </c>
      <c r="BB37" s="56"/>
      <c r="BC37" s="54"/>
      <c r="BD37" s="54"/>
      <c r="BE37" s="54"/>
      <c r="BF37" s="54"/>
      <c r="BG37" s="54"/>
      <c r="BH37" s="54"/>
      <c r="BI37" s="58">
        <v>40</v>
      </c>
      <c r="BJ37" s="56"/>
      <c r="BK37" s="54"/>
      <c r="BL37" s="54"/>
      <c r="BM37" s="54"/>
    </row>
    <row r="38" spans="1:65" ht="19.2" thickTop="1" thickBot="1">
      <c r="A38" s="15" t="s">
        <v>33</v>
      </c>
      <c r="B38" s="16" t="s">
        <v>61</v>
      </c>
      <c r="C38" s="17"/>
      <c r="M38" s="7" t="s">
        <v>45</v>
      </c>
      <c r="N38" s="40">
        <v>1.7490000000000001</v>
      </c>
      <c r="O38" s="32" t="s">
        <v>3</v>
      </c>
      <c r="P38" s="40">
        <v>1.744</v>
      </c>
      <c r="Q38" s="32" t="s">
        <v>3</v>
      </c>
      <c r="R38" s="40">
        <v>1.744</v>
      </c>
      <c r="S38" s="32" t="s">
        <v>3</v>
      </c>
      <c r="T38" s="40">
        <v>1.744</v>
      </c>
      <c r="U38" s="32" t="s">
        <v>3</v>
      </c>
      <c r="V38" s="40">
        <v>1.02</v>
      </c>
      <c r="W38" s="32" t="s">
        <v>3</v>
      </c>
      <c r="X38" s="40">
        <v>0.28699999999999998</v>
      </c>
      <c r="Y38" s="32" t="s">
        <v>3</v>
      </c>
      <c r="AA38" s="49"/>
      <c r="AB38" s="53">
        <v>30</v>
      </c>
      <c r="AC38" s="51">
        <v>4.8499999999999996</v>
      </c>
      <c r="AD38" s="49"/>
      <c r="AE38" s="49"/>
      <c r="AF38" s="53">
        <v>30</v>
      </c>
      <c r="AG38" s="51">
        <v>1.22</v>
      </c>
      <c r="AH38" s="49"/>
      <c r="AI38" s="49"/>
      <c r="AJ38" s="53">
        <v>30</v>
      </c>
      <c r="AK38" s="51">
        <v>4.9820000000000002</v>
      </c>
      <c r="AL38" s="49"/>
      <c r="AM38" s="49"/>
      <c r="AN38" s="49"/>
      <c r="AO38" s="49"/>
      <c r="AP38" s="54"/>
      <c r="AQ38" s="54"/>
      <c r="AR38" s="54"/>
      <c r="AS38" s="58">
        <v>30</v>
      </c>
      <c r="AT38" s="56">
        <v>0.115</v>
      </c>
      <c r="AU38" s="54"/>
      <c r="AV38" s="54"/>
      <c r="AW38" s="54"/>
      <c r="AX38" s="54"/>
      <c r="AY38" s="54"/>
      <c r="AZ38" s="54"/>
      <c r="BA38" s="58">
        <v>30</v>
      </c>
      <c r="BB38" s="56"/>
      <c r="BC38" s="54"/>
      <c r="BD38" s="54"/>
      <c r="BE38" s="54"/>
      <c r="BF38" s="54"/>
      <c r="BG38" s="54"/>
      <c r="BH38" s="54"/>
      <c r="BI38" s="58">
        <v>30</v>
      </c>
      <c r="BJ38" s="56"/>
      <c r="BK38" s="54"/>
      <c r="BL38" s="54"/>
      <c r="BM38" s="54"/>
    </row>
    <row r="39" spans="1:65" ht="19.2" thickTop="1" thickBot="1">
      <c r="A39" s="18" t="s">
        <v>30</v>
      </c>
      <c r="B39" s="13">
        <v>5</v>
      </c>
      <c r="C39" s="19" t="s">
        <v>3</v>
      </c>
      <c r="M39" s="7" t="s">
        <v>49</v>
      </c>
      <c r="N39" s="40">
        <f>AT5-AC5</f>
        <v>-1.4520000000000004</v>
      </c>
      <c r="O39" s="32" t="s">
        <v>3</v>
      </c>
      <c r="P39" s="40">
        <f>AT10-AC10</f>
        <v>-1.4320000000000004</v>
      </c>
      <c r="Q39" s="32" t="s">
        <v>3</v>
      </c>
      <c r="R39" s="40">
        <f>AT12-AC12</f>
        <v>-1.3839999999999995</v>
      </c>
      <c r="S39" s="32" t="s">
        <v>3</v>
      </c>
      <c r="T39" s="40">
        <f>AT17-AC17</f>
        <v>-1.0310000000000001</v>
      </c>
      <c r="U39" s="32" t="s">
        <v>3</v>
      </c>
      <c r="V39" s="40">
        <f>AT19-AC19</f>
        <v>-2.5589999999999997</v>
      </c>
      <c r="W39" s="32" t="s">
        <v>3</v>
      </c>
      <c r="X39" s="40">
        <f>AT23-AC23</f>
        <v>-3.9530000000000003</v>
      </c>
      <c r="Y39" s="32" t="s">
        <v>3</v>
      </c>
      <c r="AA39" s="49"/>
      <c r="AB39" s="53">
        <v>20</v>
      </c>
      <c r="AC39" s="51">
        <v>4.7880000000000003</v>
      </c>
      <c r="AD39" s="49"/>
      <c r="AE39" s="49"/>
      <c r="AF39" s="53">
        <v>20</v>
      </c>
      <c r="AG39" s="51">
        <v>1.0900000000000001</v>
      </c>
      <c r="AH39" s="49"/>
      <c r="AI39" s="49"/>
      <c r="AJ39" s="53">
        <v>20</v>
      </c>
      <c r="AK39" s="51">
        <v>4.9740000000000002</v>
      </c>
      <c r="AL39" s="49"/>
      <c r="AM39" s="49"/>
      <c r="AN39" s="49"/>
      <c r="AO39" s="49"/>
      <c r="AP39" s="54"/>
      <c r="AQ39" s="54"/>
      <c r="AR39" s="54"/>
      <c r="AS39" s="58">
        <v>20</v>
      </c>
      <c r="AT39" s="56">
        <v>0.17199999999999999</v>
      </c>
      <c r="AU39" s="54"/>
      <c r="AV39" s="54"/>
      <c r="AW39" s="54"/>
      <c r="AX39" s="54"/>
      <c r="AY39" s="54"/>
      <c r="AZ39" s="54"/>
      <c r="BA39" s="58">
        <v>20</v>
      </c>
      <c r="BB39" s="56"/>
      <c r="BC39" s="54"/>
      <c r="BD39" s="54"/>
      <c r="BE39" s="54"/>
      <c r="BF39" s="54"/>
      <c r="BG39" s="54"/>
      <c r="BH39" s="54"/>
      <c r="BI39" s="58">
        <v>20</v>
      </c>
      <c r="BJ39" s="56"/>
      <c r="BK39" s="54"/>
      <c r="BL39" s="54"/>
      <c r="BM39" s="54"/>
    </row>
    <row r="40" spans="1:65" ht="19.2" thickTop="1" thickBot="1">
      <c r="A40" s="18" t="s">
        <v>8</v>
      </c>
      <c r="B40" s="13">
        <v>1.75</v>
      </c>
      <c r="C40" s="20" t="s">
        <v>3</v>
      </c>
      <c r="M40" s="45" t="s">
        <v>46</v>
      </c>
      <c r="N40" s="40">
        <f>ABS(N39*N35)</f>
        <v>4.9368000000000016E-2</v>
      </c>
      <c r="O40" s="32" t="s">
        <v>4</v>
      </c>
      <c r="P40" s="40">
        <f t="shared" ref="P40:X40" si="6">ABS(P39*P35)</f>
        <v>9.8808000000000035E-2</v>
      </c>
      <c r="Q40" s="32" t="s">
        <v>4</v>
      </c>
      <c r="R40" s="40">
        <f t="shared" ref="R40:Y40" si="7">ABS(R39*R35)</f>
        <v>0.15915999999999994</v>
      </c>
      <c r="S40" s="32" t="s">
        <v>4</v>
      </c>
      <c r="T40" s="40">
        <f t="shared" ref="T40:Y40" si="8">ABS(T39*T35)</f>
        <v>0.49900400000000006</v>
      </c>
      <c r="U40" s="32" t="s">
        <v>4</v>
      </c>
      <c r="V40" s="40">
        <f t="shared" ref="V40:Y40" si="9">ABS(V39*V35)</f>
        <v>1.0005689999999998</v>
      </c>
      <c r="W40" s="32" t="s">
        <v>4</v>
      </c>
      <c r="X40" s="40">
        <f t="shared" ref="X40:Y40" si="10">ABS(X39*X35)</f>
        <v>1.952782</v>
      </c>
      <c r="Y40" s="32" t="s">
        <v>4</v>
      </c>
      <c r="AA40" s="49"/>
      <c r="AB40" s="51">
        <v>10</v>
      </c>
      <c r="AC40" s="51">
        <v>4.58</v>
      </c>
      <c r="AD40" s="49"/>
      <c r="AE40" s="49"/>
      <c r="AF40" s="51">
        <v>10</v>
      </c>
      <c r="AG40" s="51">
        <v>0.77800000000000002</v>
      </c>
      <c r="AH40" s="49"/>
      <c r="AI40" s="49"/>
      <c r="AJ40" s="51">
        <v>10</v>
      </c>
      <c r="AK40" s="51">
        <v>4.9589999999999996</v>
      </c>
      <c r="AL40" s="49"/>
      <c r="AM40" s="49"/>
      <c r="AN40" s="49"/>
      <c r="AO40" s="49"/>
      <c r="AP40" s="54"/>
      <c r="AQ40" s="54"/>
      <c r="AR40" s="54"/>
      <c r="AS40" s="56">
        <v>10</v>
      </c>
      <c r="AT40" s="56">
        <v>0.34200000000000003</v>
      </c>
      <c r="AU40" s="54"/>
      <c r="AV40" s="54"/>
      <c r="AW40" s="54"/>
      <c r="AX40" s="54"/>
      <c r="AY40" s="54"/>
      <c r="AZ40" s="54"/>
      <c r="BA40" s="56">
        <v>10</v>
      </c>
      <c r="BB40" s="56"/>
      <c r="BC40" s="54"/>
      <c r="BD40" s="54"/>
      <c r="BE40" s="54"/>
      <c r="BF40" s="54"/>
      <c r="BG40" s="54"/>
      <c r="BH40" s="54"/>
      <c r="BI40" s="56">
        <v>10</v>
      </c>
      <c r="BJ40" s="56"/>
      <c r="BK40" s="54"/>
      <c r="BL40" s="54"/>
      <c r="BM40" s="54"/>
    </row>
    <row r="41" spans="1:65" ht="19.2" thickTop="1" thickBot="1">
      <c r="A41" s="21" t="s">
        <v>43</v>
      </c>
      <c r="B41" s="13">
        <v>3.5</v>
      </c>
      <c r="C41" s="20" t="s">
        <v>3</v>
      </c>
      <c r="M41" s="45" t="s">
        <v>47</v>
      </c>
      <c r="N41" s="40">
        <f>AK31-AC31</f>
        <v>5.600000000000005E-2</v>
      </c>
      <c r="O41" s="32" t="s">
        <v>3</v>
      </c>
      <c r="P41" s="40">
        <f>AK36-AC36</f>
        <v>7.7999999999999403E-2</v>
      </c>
      <c r="Q41" s="32" t="s">
        <v>3</v>
      </c>
      <c r="R41" s="40">
        <f>AK38-AC38</f>
        <v>0.13200000000000056</v>
      </c>
      <c r="S41" s="32" t="s">
        <v>3</v>
      </c>
      <c r="T41" s="40">
        <f>AK43-AC43</f>
        <v>0.53000000000000025</v>
      </c>
      <c r="U41" s="32" t="s">
        <v>3</v>
      </c>
      <c r="V41" s="40">
        <f>AK45-AC45</f>
        <v>0.44700000000000006</v>
      </c>
      <c r="W41" s="32" t="s">
        <v>3</v>
      </c>
      <c r="X41" s="40">
        <f>AK49-AC49</f>
        <v>0.52700000000000014</v>
      </c>
      <c r="Y41" s="32" t="s">
        <v>3</v>
      </c>
      <c r="AA41" s="49"/>
      <c r="AB41" s="52">
        <v>9</v>
      </c>
      <c r="AC41" s="51">
        <v>4.54</v>
      </c>
      <c r="AD41" s="49"/>
      <c r="AE41" s="49"/>
      <c r="AF41" s="52">
        <v>9</v>
      </c>
      <c r="AG41" s="51">
        <v>0.72</v>
      </c>
      <c r="AH41" s="49"/>
      <c r="AI41" s="49"/>
      <c r="AJ41" s="52">
        <v>9</v>
      </c>
      <c r="AK41" s="51">
        <v>4.9569999999999999</v>
      </c>
      <c r="AL41" s="49"/>
      <c r="AM41" s="49"/>
      <c r="AN41" s="49"/>
      <c r="AO41" s="49"/>
      <c r="AP41" s="54"/>
      <c r="AQ41" s="54"/>
      <c r="AR41" s="54"/>
      <c r="AS41" s="57">
        <v>9</v>
      </c>
      <c r="AT41" s="56">
        <v>0.379</v>
      </c>
      <c r="AU41" s="54"/>
      <c r="AV41" s="54"/>
      <c r="AW41" s="54"/>
      <c r="AX41" s="54"/>
      <c r="AY41" s="54"/>
      <c r="AZ41" s="54"/>
      <c r="BA41" s="57">
        <v>9</v>
      </c>
      <c r="BB41" s="56"/>
      <c r="BC41" s="54"/>
      <c r="BD41" s="54"/>
      <c r="BE41" s="54"/>
      <c r="BF41" s="54"/>
      <c r="BG41" s="54"/>
      <c r="BH41" s="54"/>
      <c r="BI41" s="57">
        <v>9</v>
      </c>
      <c r="BJ41" s="56"/>
      <c r="BK41" s="54"/>
      <c r="BL41" s="54"/>
      <c r="BM41" s="54"/>
    </row>
    <row r="42" spans="1:65" ht="19.2" thickTop="1" thickBot="1">
      <c r="A42" s="12" t="s">
        <v>31</v>
      </c>
      <c r="B42" s="13">
        <v>1.25</v>
      </c>
      <c r="C42" s="24" t="s">
        <v>3</v>
      </c>
      <c r="AA42" s="49"/>
      <c r="AB42" s="53">
        <v>8</v>
      </c>
      <c r="AC42" s="51">
        <v>4.4880000000000004</v>
      </c>
      <c r="AD42" s="49"/>
      <c r="AE42" s="49"/>
      <c r="AF42" s="53">
        <v>8</v>
      </c>
      <c r="AG42" s="51">
        <v>0.64</v>
      </c>
      <c r="AH42" s="49"/>
      <c r="AI42" s="49"/>
      <c r="AJ42" s="53">
        <v>8</v>
      </c>
      <c r="AK42" s="51">
        <v>4.9530000000000003</v>
      </c>
      <c r="AL42" s="49"/>
      <c r="AM42" s="49"/>
      <c r="AN42" s="49"/>
      <c r="AO42" s="49"/>
      <c r="AP42" s="54"/>
      <c r="AQ42" s="54"/>
      <c r="AR42" s="54"/>
      <c r="AS42" s="58">
        <v>8</v>
      </c>
      <c r="AT42" s="56">
        <v>0.42499999999999999</v>
      </c>
      <c r="AU42" s="54"/>
      <c r="AV42" s="54"/>
      <c r="AW42" s="54"/>
      <c r="AX42" s="54"/>
      <c r="AY42" s="54"/>
      <c r="AZ42" s="54"/>
      <c r="BA42" s="58">
        <v>8</v>
      </c>
      <c r="BB42" s="56"/>
      <c r="BC42" s="54"/>
      <c r="BD42" s="54"/>
      <c r="BE42" s="54"/>
      <c r="BF42" s="54"/>
      <c r="BG42" s="54"/>
      <c r="BH42" s="54"/>
      <c r="BI42" s="58">
        <v>8</v>
      </c>
      <c r="BJ42" s="56"/>
      <c r="BK42" s="54"/>
      <c r="BL42" s="54"/>
      <c r="BM42" s="54"/>
    </row>
    <row r="43" spans="1:65" ht="19.2" thickTop="1" thickBot="1">
      <c r="A43" s="12" t="s">
        <v>32</v>
      </c>
      <c r="B43" s="13">
        <v>1.75</v>
      </c>
      <c r="C43" s="20" t="s">
        <v>3</v>
      </c>
      <c r="AA43" s="49"/>
      <c r="AB43" s="53">
        <v>7</v>
      </c>
      <c r="AC43" s="51">
        <v>4.42</v>
      </c>
      <c r="AD43" s="49"/>
      <c r="AE43" s="49"/>
      <c r="AF43" s="53">
        <v>7</v>
      </c>
      <c r="AG43" s="51">
        <v>0.54500000000000004</v>
      </c>
      <c r="AH43" s="49"/>
      <c r="AI43" s="49"/>
      <c r="AJ43" s="53">
        <v>7</v>
      </c>
      <c r="AK43" s="51">
        <v>4.95</v>
      </c>
      <c r="AL43" s="49"/>
      <c r="AM43" s="49"/>
      <c r="AN43" s="49"/>
      <c r="AO43" s="49"/>
      <c r="AP43" s="54"/>
      <c r="AQ43" s="54"/>
      <c r="AR43" s="54"/>
      <c r="AS43" s="58">
        <v>7</v>
      </c>
      <c r="AT43" s="56">
        <v>0.48399999999999999</v>
      </c>
      <c r="AU43" s="54"/>
      <c r="AV43" s="54"/>
      <c r="AW43" s="54"/>
      <c r="AX43" s="54"/>
      <c r="AY43" s="54"/>
      <c r="AZ43" s="54"/>
      <c r="BA43" s="58">
        <v>7</v>
      </c>
      <c r="BB43" s="56"/>
      <c r="BC43" s="54"/>
      <c r="BD43" s="54"/>
      <c r="BE43" s="54"/>
      <c r="BF43" s="54"/>
      <c r="BG43" s="54"/>
      <c r="BH43" s="54"/>
      <c r="BI43" s="58">
        <v>7</v>
      </c>
      <c r="BJ43" s="56"/>
      <c r="BK43" s="54"/>
      <c r="BL43" s="54"/>
      <c r="BM43" s="54"/>
    </row>
    <row r="44" spans="1:65" ht="19.2" thickTop="1" thickBot="1">
      <c r="AA44" s="49"/>
      <c r="AB44" s="53">
        <v>6</v>
      </c>
      <c r="AC44" s="53">
        <v>4.41</v>
      </c>
      <c r="AD44" s="49"/>
      <c r="AE44" s="49"/>
      <c r="AF44" s="53">
        <v>6</v>
      </c>
      <c r="AG44" s="53">
        <v>0.53</v>
      </c>
      <c r="AH44" s="49"/>
      <c r="AI44" s="49"/>
      <c r="AJ44" s="53">
        <v>6</v>
      </c>
      <c r="AK44" s="53">
        <v>4.9480000000000004</v>
      </c>
      <c r="AL44" s="49"/>
      <c r="AM44" s="49"/>
      <c r="AN44" s="49"/>
      <c r="AO44" s="49"/>
      <c r="AP44" s="54"/>
      <c r="AQ44" s="54"/>
      <c r="AR44" s="54"/>
      <c r="AS44" s="58">
        <v>6</v>
      </c>
      <c r="AT44" s="58">
        <v>0.46600000000000003</v>
      </c>
      <c r="AU44" s="54"/>
      <c r="AV44" s="54"/>
      <c r="AW44" s="54"/>
      <c r="AX44" s="54"/>
      <c r="AY44" s="54"/>
      <c r="AZ44" s="54"/>
      <c r="BA44" s="58">
        <v>6</v>
      </c>
      <c r="BB44" s="58"/>
      <c r="BC44" s="54"/>
      <c r="BD44" s="54"/>
      <c r="BE44" s="54"/>
      <c r="BF44" s="54"/>
      <c r="BG44" s="54"/>
      <c r="BH44" s="54"/>
      <c r="BI44" s="58">
        <v>6</v>
      </c>
      <c r="BJ44" s="58"/>
      <c r="BK44" s="54"/>
      <c r="BL44" s="54"/>
      <c r="BM44" s="54"/>
    </row>
    <row r="45" spans="1:65" ht="19.2" thickTop="1" thickBot="1">
      <c r="AA45" s="49"/>
      <c r="AB45" s="53">
        <v>5</v>
      </c>
      <c r="AC45" s="51">
        <v>4.5229999999999997</v>
      </c>
      <c r="AD45" s="49"/>
      <c r="AE45" s="49"/>
      <c r="AF45" s="53">
        <v>5</v>
      </c>
      <c r="AG45" s="51">
        <v>0.72</v>
      </c>
      <c r="AH45" s="49"/>
      <c r="AI45" s="49"/>
      <c r="AJ45" s="53">
        <v>5</v>
      </c>
      <c r="AK45" s="51">
        <v>4.97</v>
      </c>
      <c r="AL45" s="49"/>
      <c r="AM45" s="49"/>
      <c r="AN45" s="49"/>
      <c r="AO45" s="49"/>
      <c r="AP45" s="54"/>
      <c r="AQ45" s="54"/>
      <c r="AR45" s="54"/>
      <c r="AS45" s="58">
        <v>5</v>
      </c>
      <c r="AT45" s="56">
        <v>0.39100000000000001</v>
      </c>
      <c r="AU45" s="54"/>
      <c r="AV45" s="54"/>
      <c r="AW45" s="54"/>
      <c r="AX45" s="54"/>
      <c r="AY45" s="54"/>
      <c r="AZ45" s="54"/>
      <c r="BA45" s="58">
        <v>5</v>
      </c>
      <c r="BB45" s="56"/>
      <c r="BC45" s="54"/>
      <c r="BD45" s="54"/>
      <c r="BE45" s="54"/>
      <c r="BF45" s="54"/>
      <c r="BG45" s="54"/>
      <c r="BH45" s="54"/>
      <c r="BI45" s="58">
        <v>5</v>
      </c>
      <c r="BJ45" s="56"/>
      <c r="BK45" s="54"/>
      <c r="BL45" s="54"/>
      <c r="BM45" s="54"/>
    </row>
    <row r="46" spans="1:65" ht="19.2" thickTop="1" thickBot="1">
      <c r="AA46" s="49"/>
      <c r="AB46" s="53">
        <v>4</v>
      </c>
      <c r="AC46" s="51">
        <v>4.5129999999999999</v>
      </c>
      <c r="AD46" s="49"/>
      <c r="AE46" s="49"/>
      <c r="AF46" s="53">
        <v>4</v>
      </c>
      <c r="AG46" s="51">
        <v>0.73</v>
      </c>
      <c r="AH46" s="49"/>
      <c r="AI46" s="49"/>
      <c r="AJ46" s="53">
        <v>4</v>
      </c>
      <c r="AK46" s="51">
        <v>4.9669999999999996</v>
      </c>
      <c r="AL46" s="49"/>
      <c r="AM46" s="49"/>
      <c r="AN46" s="49"/>
      <c r="AO46" s="49"/>
      <c r="AP46" s="54"/>
      <c r="AQ46" s="54"/>
      <c r="AR46" s="54"/>
      <c r="AS46" s="58">
        <v>4</v>
      </c>
      <c r="AT46" s="56">
        <v>0.39700000000000002</v>
      </c>
      <c r="AU46" s="54"/>
      <c r="AV46" s="54"/>
      <c r="AW46" s="54"/>
      <c r="AX46" s="54"/>
      <c r="AY46" s="54"/>
      <c r="AZ46" s="54"/>
      <c r="BA46" s="58">
        <v>4</v>
      </c>
      <c r="BB46" s="56"/>
      <c r="BC46" s="54"/>
      <c r="BD46" s="54"/>
      <c r="BE46" s="54"/>
      <c r="BF46" s="54"/>
      <c r="BG46" s="54"/>
      <c r="BH46" s="54"/>
      <c r="BI46" s="58">
        <v>4</v>
      </c>
      <c r="BJ46" s="56"/>
      <c r="BK46" s="54"/>
      <c r="BL46" s="54"/>
      <c r="BM46" s="54"/>
    </row>
    <row r="47" spans="1:65" ht="19.2" thickTop="1" thickBot="1">
      <c r="AA47" s="49"/>
      <c r="AB47" s="53">
        <v>3</v>
      </c>
      <c r="AC47" s="51">
        <v>4.5</v>
      </c>
      <c r="AD47" s="49"/>
      <c r="AE47" s="49"/>
      <c r="AF47" s="53">
        <v>3</v>
      </c>
      <c r="AG47" s="51">
        <v>0.7</v>
      </c>
      <c r="AH47" s="49"/>
      <c r="AI47" s="49"/>
      <c r="AJ47" s="53">
        <v>3</v>
      </c>
      <c r="AK47" s="51">
        <v>4.9550000000000001</v>
      </c>
      <c r="AL47" s="49"/>
      <c r="AM47" s="49"/>
      <c r="AN47" s="49"/>
      <c r="AO47" s="49"/>
      <c r="AP47" s="54"/>
      <c r="AQ47" s="54"/>
      <c r="AR47" s="54"/>
      <c r="AS47" s="58">
        <v>3</v>
      </c>
      <c r="AT47" s="56">
        <v>0.41499999999999998</v>
      </c>
      <c r="AU47" s="54"/>
      <c r="AV47" s="54"/>
      <c r="AW47" s="54"/>
      <c r="AX47" s="54"/>
      <c r="AY47" s="54"/>
      <c r="AZ47" s="54"/>
      <c r="BA47" s="58">
        <v>3</v>
      </c>
      <c r="BB47" s="56"/>
      <c r="BC47" s="54"/>
      <c r="BD47" s="54"/>
      <c r="BE47" s="54"/>
      <c r="BF47" s="54"/>
      <c r="BG47" s="54"/>
      <c r="BH47" s="54"/>
      <c r="BI47" s="58">
        <v>3</v>
      </c>
      <c r="BJ47" s="56"/>
      <c r="BK47" s="54"/>
      <c r="BL47" s="54"/>
      <c r="BM47" s="54"/>
    </row>
    <row r="48" spans="1:65" ht="19.2" thickTop="1" thickBot="1">
      <c r="AA48" s="49"/>
      <c r="AB48" s="53">
        <v>2</v>
      </c>
      <c r="AC48" s="51">
        <v>4.46</v>
      </c>
      <c r="AD48" s="49"/>
      <c r="AE48" s="49"/>
      <c r="AF48" s="53">
        <v>2</v>
      </c>
      <c r="AG48" s="51">
        <v>0.64400000000000002</v>
      </c>
      <c r="AH48" s="49"/>
      <c r="AI48" s="49"/>
      <c r="AJ48" s="53">
        <v>2</v>
      </c>
      <c r="AK48" s="51">
        <v>4.952</v>
      </c>
      <c r="AL48" s="49"/>
      <c r="AM48" s="49"/>
      <c r="AN48" s="49"/>
      <c r="AO48" s="49"/>
      <c r="AP48" s="54"/>
      <c r="AQ48" s="54"/>
      <c r="AR48" s="54"/>
      <c r="AS48" s="58">
        <v>2</v>
      </c>
      <c r="AT48" s="56">
        <v>0.442</v>
      </c>
      <c r="AU48" s="54"/>
      <c r="AV48" s="54"/>
      <c r="AW48" s="54"/>
      <c r="AX48" s="54"/>
      <c r="AY48" s="54"/>
      <c r="AZ48" s="54"/>
      <c r="BA48" s="58">
        <v>2</v>
      </c>
      <c r="BB48" s="56"/>
      <c r="BC48" s="54"/>
      <c r="BD48" s="54"/>
      <c r="BE48" s="54"/>
      <c r="BF48" s="54"/>
      <c r="BG48" s="54"/>
      <c r="BH48" s="54"/>
      <c r="BI48" s="58">
        <v>2</v>
      </c>
      <c r="BJ48" s="56"/>
      <c r="BK48" s="54"/>
      <c r="BL48" s="54"/>
      <c r="BM48" s="54"/>
    </row>
    <row r="49" spans="1:65" ht="19.2" thickTop="1" thickBot="1">
      <c r="A49" s="1" t="s">
        <v>34</v>
      </c>
      <c r="AA49" s="49"/>
      <c r="AB49" s="53">
        <v>1</v>
      </c>
      <c r="AC49" s="51">
        <v>4.4210000000000003</v>
      </c>
      <c r="AD49" s="49"/>
      <c r="AE49" s="49"/>
      <c r="AF49" s="53">
        <v>1</v>
      </c>
      <c r="AG49" s="51">
        <v>0.6</v>
      </c>
      <c r="AH49" s="49"/>
      <c r="AI49" s="49"/>
      <c r="AJ49" s="53">
        <v>1</v>
      </c>
      <c r="AK49" s="51">
        <v>4.9480000000000004</v>
      </c>
      <c r="AL49" s="49"/>
      <c r="AM49" s="49"/>
      <c r="AN49" s="49"/>
      <c r="AO49" s="49"/>
      <c r="AP49" s="54"/>
      <c r="AQ49" s="54"/>
      <c r="AR49" s="54"/>
      <c r="AS49" s="58">
        <v>1</v>
      </c>
      <c r="AT49" s="56">
        <v>0.47199999999999998</v>
      </c>
      <c r="AU49" s="54"/>
      <c r="AV49" s="54"/>
      <c r="AW49" s="54"/>
      <c r="AX49" s="54"/>
      <c r="AY49" s="54"/>
      <c r="AZ49" s="54"/>
      <c r="BA49" s="58">
        <v>1</v>
      </c>
      <c r="BB49" s="56"/>
      <c r="BC49" s="54"/>
      <c r="BD49" s="54"/>
      <c r="BE49" s="54"/>
      <c r="BF49" s="54"/>
      <c r="BG49" s="54"/>
      <c r="BH49" s="54"/>
      <c r="BI49" s="58">
        <v>1</v>
      </c>
      <c r="BJ49" s="56"/>
      <c r="BK49" s="54"/>
      <c r="BL49" s="54"/>
      <c r="BM49" s="54"/>
    </row>
    <row r="50" spans="1:65" ht="19.2" thickTop="1" thickBot="1">
      <c r="AA50" s="49"/>
      <c r="AB50" s="53">
        <v>0.05</v>
      </c>
      <c r="AC50" s="51">
        <v>4.3840000000000003</v>
      </c>
      <c r="AD50" s="49"/>
      <c r="AE50" s="49"/>
      <c r="AF50" s="53">
        <v>0.05</v>
      </c>
      <c r="AG50" s="51">
        <v>0.55000000000000004</v>
      </c>
      <c r="AH50" s="49"/>
      <c r="AI50" s="49"/>
      <c r="AJ50" s="53">
        <v>0.05</v>
      </c>
      <c r="AK50" s="51">
        <v>4.9470000000000001</v>
      </c>
      <c r="AL50" s="49"/>
      <c r="AM50" s="49"/>
      <c r="AN50" s="49"/>
      <c r="AO50" s="49"/>
      <c r="AP50" s="54"/>
      <c r="AQ50" s="54"/>
      <c r="AR50" s="54"/>
      <c r="AS50" s="58">
        <v>0.05</v>
      </c>
      <c r="AT50" s="56">
        <v>0.499</v>
      </c>
      <c r="AU50" s="54"/>
      <c r="AV50" s="54"/>
      <c r="AW50" s="54"/>
      <c r="AX50" s="54"/>
      <c r="AY50" s="54"/>
      <c r="AZ50" s="54"/>
      <c r="BA50" s="58">
        <v>0.05</v>
      </c>
      <c r="BB50" s="56"/>
      <c r="BC50" s="54"/>
      <c r="BD50" s="54"/>
      <c r="BE50" s="54"/>
      <c r="BF50" s="54"/>
      <c r="BG50" s="54"/>
      <c r="BH50" s="54"/>
      <c r="BI50" s="58">
        <v>0.05</v>
      </c>
      <c r="BJ50" s="56"/>
      <c r="BK50" s="54"/>
      <c r="BL50" s="54"/>
      <c r="BM50" s="54"/>
    </row>
    <row r="51" spans="1:65" ht="19.2" thickTop="1" thickBot="1">
      <c r="A51" s="3" t="s">
        <v>0</v>
      </c>
      <c r="B51" s="3" t="s">
        <v>1</v>
      </c>
      <c r="C51" s="3" t="s">
        <v>5</v>
      </c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</row>
    <row r="52" spans="1:65" ht="18.600000000000001" thickTop="1">
      <c r="A52" s="15" t="s">
        <v>35</v>
      </c>
      <c r="B52" s="16" t="s">
        <v>76</v>
      </c>
      <c r="C52" s="17"/>
    </row>
    <row r="53" spans="1:65" ht="18.600000000000001" thickBot="1">
      <c r="A53" s="18" t="s">
        <v>36</v>
      </c>
      <c r="B53" s="13">
        <f>B6</f>
        <v>5</v>
      </c>
      <c r="C53" s="19" t="s">
        <v>3</v>
      </c>
    </row>
    <row r="54" spans="1:65" ht="19.2" thickTop="1" thickBot="1">
      <c r="A54" s="18" t="s">
        <v>41</v>
      </c>
      <c r="B54" s="13">
        <v>0.6</v>
      </c>
      <c r="C54" s="20" t="s">
        <v>3</v>
      </c>
    </row>
    <row r="55" spans="1:65" ht="19.2" thickTop="1" thickBot="1">
      <c r="A55" s="18" t="s">
        <v>37</v>
      </c>
      <c r="B55" s="13">
        <v>4.3</v>
      </c>
      <c r="C55" s="20" t="s">
        <v>3</v>
      </c>
    </row>
    <row r="56" spans="1:65" ht="19.2" thickTop="1" thickBot="1">
      <c r="A56" s="21" t="s">
        <v>38</v>
      </c>
      <c r="B56" s="13">
        <v>1</v>
      </c>
      <c r="C56" s="20" t="s">
        <v>39</v>
      </c>
    </row>
    <row r="57" spans="1:65" ht="19.2" thickTop="1" thickBot="1">
      <c r="A57" s="12" t="s">
        <v>40</v>
      </c>
      <c r="B57" s="13">
        <v>0.5</v>
      </c>
      <c r="C57" s="24" t="s">
        <v>10</v>
      </c>
    </row>
    <row r="58" spans="1:65" ht="18.600000000000001" thickTop="1"/>
  </sheetData>
  <pageMargins left="0.7" right="0.7" top="0.75" bottom="0.75" header="0.3" footer="0.3"/>
  <pageSetup paperSize="9" scale="34" orientation="landscape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Kyle Premadasa</cp:lastModifiedBy>
  <cp:lastPrinted>2026-08-31T02:23:34Z</cp:lastPrinted>
  <dcterms:created xsi:type="dcterms:W3CDTF">2025-12-20T08:56:10Z</dcterms:created>
  <dcterms:modified xsi:type="dcterms:W3CDTF">2026-10-06T23:52:51Z</dcterms:modified>
</cp:coreProperties>
</file>