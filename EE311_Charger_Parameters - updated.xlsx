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deb8a6805bc7d3/Documents/311 Github/311-Group-9/"/>
    </mc:Choice>
  </mc:AlternateContent>
  <xr:revisionPtr revIDLastSave="8" documentId="13_ncr:1_{20C5C26B-082A-4702-9DBF-333ED5865572}" xr6:coauthVersionLast="47" xr6:coauthVersionMax="47" xr10:uidLastSave="{7F161F60-EC93-4B5C-BB83-FE0E7FD351B8}"/>
  <bookViews>
    <workbookView xWindow="-108" yWindow="-108" windowWidth="23256" windowHeight="12456" xr2:uid="{0EA872C3-4804-43CB-9F0B-5F94DB7B435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3" i="3" l="1"/>
  <c r="AJ13" i="3"/>
  <c r="AH13" i="3"/>
  <c r="AF13" i="3"/>
  <c r="AD13" i="3"/>
  <c r="AB13" i="3"/>
  <c r="B24" i="3"/>
  <c r="B23" i="3"/>
  <c r="B29" i="3"/>
  <c r="AD12" i="3"/>
  <c r="AF12" i="3"/>
  <c r="AH12" i="3"/>
  <c r="AJ12" i="3"/>
  <c r="AL12" i="3"/>
  <c r="AB12" i="3"/>
  <c r="X7" i="3"/>
  <c r="X13" i="3" s="1"/>
  <c r="N7" i="3"/>
  <c r="N13" i="3" s="1"/>
  <c r="P7" i="3"/>
  <c r="P6" i="3" s="1"/>
  <c r="R7" i="3"/>
  <c r="R6" i="3" s="1"/>
  <c r="T7" i="3"/>
  <c r="T6" i="3" s="1"/>
  <c r="V7" i="3"/>
  <c r="V6" i="3" s="1"/>
  <c r="B55" i="3"/>
  <c r="B53" i="3"/>
  <c r="P13" i="3" l="1"/>
  <c r="R13" i="3"/>
  <c r="T13" i="3"/>
  <c r="V13" i="3"/>
  <c r="X6" i="3"/>
  <c r="X11" i="3" s="1"/>
  <c r="X12" i="3" s="1"/>
  <c r="T11" i="3"/>
  <c r="T12" i="3" s="1"/>
  <c r="X10" i="3"/>
  <c r="P11" i="3"/>
  <c r="P12" i="3" s="1"/>
  <c r="R11" i="3"/>
  <c r="R12" i="3" s="1"/>
  <c r="V11" i="3"/>
  <c r="V12" i="3" s="1"/>
  <c r="V10" i="3"/>
  <c r="T10" i="3"/>
  <c r="R10" i="3"/>
  <c r="P10" i="3"/>
  <c r="N6" i="3"/>
  <c r="N11" i="3" s="1"/>
  <c r="N12" i="3" s="1"/>
  <c r="B28" i="3"/>
  <c r="N10" i="3" l="1"/>
</calcChain>
</file>

<file path=xl/sharedStrings.xml><?xml version="1.0" encoding="utf-8"?>
<sst xmlns="http://schemas.openxmlformats.org/spreadsheetml/2006/main" count="237" uniqueCount="64">
  <si>
    <t>Parameter</t>
  </si>
  <si>
    <t>Value</t>
  </si>
  <si>
    <t>Unit</t>
  </si>
  <si>
    <t>V</t>
  </si>
  <si>
    <t>W</t>
  </si>
  <si>
    <t>Unit (eq)</t>
  </si>
  <si>
    <t>Evaluating Steady-State Operating Conditions (Theoretical)</t>
  </si>
  <si>
    <t>Vout</t>
  </si>
  <si>
    <t>Vref</t>
  </si>
  <si>
    <t>Vin</t>
  </si>
  <si>
    <t>A</t>
  </si>
  <si>
    <t>Max Pout(avg)</t>
  </si>
  <si>
    <t>Min Pout(avg)</t>
  </si>
  <si>
    <t>Charger Design</t>
  </si>
  <si>
    <t>Charger Design Specifications</t>
  </si>
  <si>
    <t>Min Vout(avg)</t>
  </si>
  <si>
    <t>Max Vout(avg)</t>
  </si>
  <si>
    <t>Max Current(avg)</t>
  </si>
  <si>
    <t>Voltage Regulation</t>
  </si>
  <si>
    <t>%</t>
  </si>
  <si>
    <t>Selected Mosfet</t>
  </si>
  <si>
    <t>Max ID</t>
  </si>
  <si>
    <t>Max Source Voltage</t>
  </si>
  <si>
    <t>Source Voltage @ Max ID</t>
  </si>
  <si>
    <t>Expected Drain Voltage(min)</t>
  </si>
  <si>
    <t>Expected Drain Voltage(max)</t>
  </si>
  <si>
    <t>Evaluating Key Mosfet Parameters (Theoretical)</t>
  </si>
  <si>
    <t>Power Dissipation @ 2.5Vout</t>
  </si>
  <si>
    <t>Power Dissipation @ 3.5Vout</t>
  </si>
  <si>
    <t>Evaluating Key Opamp Parameters (Theoretical)</t>
  </si>
  <si>
    <t>Supply Voltage</t>
  </si>
  <si>
    <t>Feedback Voltage @ 2.5 Vout</t>
  </si>
  <si>
    <t>Feedback Voltage @ 3.5 Vout</t>
  </si>
  <si>
    <t>Selected Opamp</t>
  </si>
  <si>
    <t>Evaluating Key BJT Parameters (Theoretical)</t>
  </si>
  <si>
    <t>Selected BJT</t>
  </si>
  <si>
    <t>BD140</t>
  </si>
  <si>
    <t>Emitter Voltage</t>
  </si>
  <si>
    <t>Base Voltage @ Current Limit</t>
  </si>
  <si>
    <t xml:space="preserve">Sense Resitance </t>
  </si>
  <si>
    <t>Ω</t>
  </si>
  <si>
    <t>Current Limit</t>
  </si>
  <si>
    <t>VEB Turn on voltage</t>
  </si>
  <si>
    <t>Stead State Gate Voltage</t>
  </si>
  <si>
    <t>Steady State Output Voltage</t>
  </si>
  <si>
    <t xml:space="preserve">Iout </t>
  </si>
  <si>
    <t>Vfb</t>
  </si>
  <si>
    <t>Mpower</t>
  </si>
  <si>
    <t>Vrsense</t>
  </si>
  <si>
    <t>Rload</t>
  </si>
  <si>
    <t>VDS</t>
  </si>
  <si>
    <t>Evaluating Steady-State Operating Conditions (Simulation)</t>
  </si>
  <si>
    <t>Vin = 5 V</t>
  </si>
  <si>
    <t>Vout = Iout × Rload</t>
  </si>
  <si>
    <t>Selected test value</t>
  </si>
  <si>
    <t>Vref = Vout(target) × R7/(R6+R7)</t>
  </si>
  <si>
    <t>Vfb = Vout × R7/(R6+R7)</t>
  </si>
  <si>
    <t>VDS = Vdrain - Vsource</t>
  </si>
  <si>
    <t>Pmos = ABS(VDS) × ID</t>
  </si>
  <si>
    <t>Vrsense = Iout × Rsense</t>
  </si>
  <si>
    <t>Iout = Vout/Rload</t>
  </si>
  <si>
    <t>IRF4905PBF</t>
  </si>
  <si>
    <t>TLV9162</t>
  </si>
  <si>
    <t>Incorrect Value. Changed from 5v to 3.5v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</si>
</sst>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1" applyFont="1"/>
    <xf numFmtId="0" fontId="4" fillId="3" borderId="2" xfId="2" applyFont="1" applyBorder="1"/>
    <xf numFmtId="2" fontId="4" fillId="4" borderId="3" xfId="0" applyNumberFormat="1" applyFont="1" applyFill="1" applyBorder="1"/>
    <xf numFmtId="0" fontId="4" fillId="0" borderId="4" xfId="0" applyFont="1" applyBorder="1"/>
    <xf numFmtId="0" fontId="4" fillId="3" borderId="5" xfId="2" applyFont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4" borderId="17" xfId="0" applyNumberFormat="1" applyFont="1" applyFill="1" applyBorder="1"/>
    <xf numFmtId="0" fontId="4" fillId="0" borderId="18" xfId="0" applyFont="1" applyBorder="1"/>
    <xf numFmtId="0" fontId="4" fillId="3" borderId="8" xfId="2" applyFont="1" applyBorder="1"/>
    <xf numFmtId="2" fontId="4" fillId="4" borderId="9" xfId="0" applyNumberFormat="1" applyFont="1" applyFill="1" applyBorder="1"/>
    <xf numFmtId="0" fontId="4" fillId="0" borderId="10" xfId="0" applyFont="1" applyBorder="1"/>
    <xf numFmtId="0" fontId="4" fillId="3" borderId="20" xfId="2" applyFont="1" applyBorder="1"/>
    <xf numFmtId="2" fontId="4" fillId="0" borderId="21" xfId="0" applyNumberFormat="1" applyFont="1" applyBorder="1"/>
    <xf numFmtId="49" fontId="4" fillId="0" borderId="22" xfId="0" applyNumberFormat="1" applyFont="1" applyBorder="1"/>
    <xf numFmtId="0" fontId="4" fillId="3" borderId="23" xfId="2" applyFont="1" applyBorder="1"/>
    <xf numFmtId="49" fontId="4" fillId="0" borderId="24" xfId="0" applyNumberFormat="1" applyFont="1" applyBorder="1"/>
    <xf numFmtId="49" fontId="4" fillId="0" borderId="13" xfId="0" applyNumberFormat="1" applyFont="1" applyBorder="1"/>
    <xf numFmtId="0" fontId="4" fillId="3" borderId="11" xfId="2" applyFont="1" applyBorder="1"/>
    <xf numFmtId="164" fontId="4" fillId="0" borderId="0" xfId="0" applyNumberFormat="1" applyFont="1"/>
    <xf numFmtId="49" fontId="4" fillId="0" borderId="0" xfId="0" applyNumberFormat="1" applyFont="1"/>
    <xf numFmtId="49" fontId="4" fillId="0" borderId="10" xfId="0" applyNumberFormat="1" applyFont="1" applyBorder="1"/>
    <xf numFmtId="0" fontId="4" fillId="3" borderId="25" xfId="2" applyFont="1" applyBorder="1"/>
    <xf numFmtId="49" fontId="4" fillId="0" borderId="26" xfId="0" applyNumberFormat="1" applyFont="1" applyBorder="1"/>
    <xf numFmtId="49" fontId="4" fillId="0" borderId="12" xfId="0" applyNumberFormat="1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165" fontId="4" fillId="4" borderId="3" xfId="0" applyNumberFormat="1" applyFont="1" applyFill="1" applyBorder="1"/>
    <xf numFmtId="165" fontId="4" fillId="0" borderId="3" xfId="0" applyNumberFormat="1" applyFont="1" applyBorder="1"/>
    <xf numFmtId="165" fontId="4" fillId="5" borderId="3" xfId="0" applyNumberFormat="1" applyFont="1" applyFill="1" applyBorder="1"/>
    <xf numFmtId="165" fontId="4" fillId="0" borderId="15" xfId="0" applyNumberFormat="1" applyFont="1" applyBorder="1"/>
    <xf numFmtId="0" fontId="6" fillId="0" borderId="30" xfId="0" applyFont="1" applyBorder="1"/>
    <xf numFmtId="0" fontId="6" fillId="0" borderId="0" xfId="0" applyFont="1"/>
    <xf numFmtId="0" fontId="6" fillId="0" borderId="31" xfId="0" applyFont="1" applyBorder="1"/>
    <xf numFmtId="0" fontId="4" fillId="3" borderId="19" xfId="2" applyFont="1" applyBorder="1"/>
    <xf numFmtId="165" fontId="4" fillId="4" borderId="14" xfId="0" applyNumberFormat="1" applyFont="1" applyFill="1" applyBorder="1"/>
    <xf numFmtId="165" fontId="4" fillId="4" borderId="6" xfId="0" applyNumberFormat="1" applyFont="1" applyFill="1" applyBorder="1"/>
    <xf numFmtId="165" fontId="4" fillId="0" borderId="26" xfId="0" applyNumberFormat="1" applyFont="1" applyBorder="1"/>
    <xf numFmtId="165" fontId="4" fillId="0" borderId="13" xfId="0" applyNumberFormat="1" applyFont="1" applyBorder="1"/>
    <xf numFmtId="165" fontId="4" fillId="5" borderId="6" xfId="0" applyNumberFormat="1" applyFont="1" applyFill="1" applyBorder="1"/>
    <xf numFmtId="165" fontId="4" fillId="0" borderId="6" xfId="0" applyNumberFormat="1" applyFont="1" applyBorder="1"/>
    <xf numFmtId="0" fontId="4" fillId="3" borderId="16" xfId="2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521C-5B07-44ED-8604-0670432A7445}">
  <sheetPr>
    <pageSetUpPr fitToPage="1"/>
  </sheetPr>
  <dimension ref="A1:AM58"/>
  <sheetViews>
    <sheetView tabSelected="1" zoomScale="50" zoomScaleNormal="70" workbookViewId="0">
      <selection activeCell="H2" sqref="H2:AM13"/>
    </sheetView>
  </sheetViews>
  <sheetFormatPr defaultColWidth="8.88671875" defaultRowHeight="18" x14ac:dyDescent="0.35"/>
  <cols>
    <col min="1" max="1" width="28.44140625" style="2" customWidth="1"/>
    <col min="2" max="2" width="8.88671875" style="2" customWidth="1"/>
    <col min="3" max="6" width="8.88671875" style="2"/>
    <col min="7" max="7" width="10" style="2" bestFit="1" customWidth="1"/>
    <col min="8" max="8" width="8.88671875" style="2"/>
    <col min="9" max="9" width="9" style="2" bestFit="1" customWidth="1"/>
    <col min="10" max="10" width="8.88671875" style="2"/>
    <col min="11" max="11" width="9" style="2" bestFit="1" customWidth="1"/>
    <col min="12" max="12" width="10.6640625" style="2" customWidth="1"/>
    <col min="13" max="13" width="9" style="2" bestFit="1" customWidth="1"/>
    <col min="14" max="14" width="8.88671875" style="2"/>
    <col min="15" max="15" width="9" style="2" bestFit="1" customWidth="1"/>
    <col min="16" max="16" width="8.88671875" style="2"/>
    <col min="17" max="17" width="9" style="2" bestFit="1" customWidth="1"/>
    <col min="18" max="20" width="8.88671875" style="2"/>
    <col min="21" max="21" width="10" style="2" bestFit="1" customWidth="1"/>
    <col min="22" max="22" width="8.88671875" style="2"/>
    <col min="23" max="23" width="9" style="2" bestFit="1" customWidth="1"/>
    <col min="24" max="24" width="8.88671875" style="2"/>
    <col min="25" max="25" width="10.5546875" style="2" customWidth="1"/>
    <col min="26" max="26" width="8.88671875" style="2"/>
    <col min="27" max="27" width="9" style="2" bestFit="1" customWidth="1"/>
    <col min="28" max="28" width="8.88671875" style="2"/>
    <col min="29" max="29" width="9" style="2" bestFit="1" customWidth="1"/>
    <col min="30" max="30" width="8.88671875" style="2"/>
    <col min="31" max="31" width="9" style="2" bestFit="1" customWidth="1"/>
    <col min="32" max="16384" width="8.88671875" style="2"/>
  </cols>
  <sheetData>
    <row r="1" spans="1:39" x14ac:dyDescent="0.35">
      <c r="A1" s="1" t="s">
        <v>13</v>
      </c>
    </row>
    <row r="2" spans="1:39" x14ac:dyDescent="0.35">
      <c r="M2" s="1" t="s">
        <v>6</v>
      </c>
      <c r="AA2" s="1" t="s">
        <v>51</v>
      </c>
    </row>
    <row r="3" spans="1:39" ht="18.600000000000001" thickBot="1" x14ac:dyDescent="0.4">
      <c r="A3" s="1" t="s">
        <v>14</v>
      </c>
      <c r="G3" s="1"/>
    </row>
    <row r="4" spans="1:39" ht="19.2" thickTop="1" thickBot="1" x14ac:dyDescent="0.4">
      <c r="M4" s="3" t="s">
        <v>0</v>
      </c>
      <c r="N4" s="3" t="s">
        <v>1</v>
      </c>
      <c r="O4" s="3" t="s">
        <v>5</v>
      </c>
      <c r="P4" s="3" t="s">
        <v>1</v>
      </c>
      <c r="Q4" s="3" t="s">
        <v>5</v>
      </c>
      <c r="R4" s="3" t="s">
        <v>1</v>
      </c>
      <c r="S4" s="3" t="s">
        <v>5</v>
      </c>
      <c r="T4" s="3" t="s">
        <v>1</v>
      </c>
      <c r="U4" s="3" t="s">
        <v>5</v>
      </c>
      <c r="V4" s="3" t="s">
        <v>1</v>
      </c>
      <c r="W4" s="3" t="s">
        <v>5</v>
      </c>
      <c r="X4" s="3" t="s">
        <v>1</v>
      </c>
      <c r="Y4" s="3" t="s">
        <v>5</v>
      </c>
      <c r="AA4" s="3" t="s">
        <v>0</v>
      </c>
      <c r="AB4" s="3" t="s">
        <v>1</v>
      </c>
      <c r="AC4" s="3" t="s">
        <v>5</v>
      </c>
      <c r="AD4" s="3" t="s">
        <v>1</v>
      </c>
      <c r="AE4" s="3" t="s">
        <v>5</v>
      </c>
      <c r="AF4" s="3" t="s">
        <v>1</v>
      </c>
      <c r="AG4" s="3" t="s">
        <v>5</v>
      </c>
      <c r="AH4" s="3" t="s">
        <v>1</v>
      </c>
      <c r="AI4" s="3" t="s">
        <v>5</v>
      </c>
      <c r="AJ4" s="3" t="s">
        <v>1</v>
      </c>
      <c r="AK4" s="3" t="s">
        <v>5</v>
      </c>
      <c r="AL4" s="3" t="s">
        <v>1</v>
      </c>
      <c r="AM4" s="3" t="s">
        <v>5</v>
      </c>
    </row>
    <row r="5" spans="1:39" ht="19.2" thickTop="1" thickBot="1" x14ac:dyDescent="0.4">
      <c r="A5" s="3" t="s">
        <v>0</v>
      </c>
      <c r="B5" s="3" t="s">
        <v>1</v>
      </c>
      <c r="C5" s="3" t="s">
        <v>2</v>
      </c>
      <c r="H5" s="28" t="s">
        <v>52</v>
      </c>
      <c r="I5" s="29"/>
      <c r="J5" s="29"/>
      <c r="K5" s="30"/>
      <c r="M5" s="4" t="s">
        <v>9</v>
      </c>
      <c r="N5" s="31">
        <v>5</v>
      </c>
      <c r="O5" s="32" t="s">
        <v>3</v>
      </c>
      <c r="P5" s="31">
        <v>5</v>
      </c>
      <c r="Q5" s="32" t="s">
        <v>3</v>
      </c>
      <c r="R5" s="33">
        <v>5</v>
      </c>
      <c r="S5" s="32" t="s">
        <v>3</v>
      </c>
      <c r="T5" s="31">
        <v>5</v>
      </c>
      <c r="U5" s="32" t="s">
        <v>3</v>
      </c>
      <c r="V5" s="31">
        <v>5</v>
      </c>
      <c r="W5" s="34" t="s">
        <v>3</v>
      </c>
      <c r="X5" s="31">
        <v>5</v>
      </c>
      <c r="Y5" s="34" t="s">
        <v>3</v>
      </c>
      <c r="AA5" s="4" t="s">
        <v>9</v>
      </c>
      <c r="AB5" s="31">
        <v>5</v>
      </c>
      <c r="AC5" s="32" t="s">
        <v>3</v>
      </c>
      <c r="AD5" s="31">
        <v>5</v>
      </c>
      <c r="AE5" s="32" t="s">
        <v>3</v>
      </c>
      <c r="AF5" s="33">
        <v>5</v>
      </c>
      <c r="AG5" s="32" t="s">
        <v>3</v>
      </c>
      <c r="AH5" s="31">
        <v>5</v>
      </c>
      <c r="AI5" s="32" t="s">
        <v>3</v>
      </c>
      <c r="AJ5" s="31">
        <v>5</v>
      </c>
      <c r="AK5" s="34" t="s">
        <v>3</v>
      </c>
      <c r="AL5" s="31">
        <v>5</v>
      </c>
      <c r="AM5" s="34" t="s">
        <v>3</v>
      </c>
    </row>
    <row r="6" spans="1:39" ht="18.600000000000001" thickTop="1" x14ac:dyDescent="0.35">
      <c r="A6" s="4" t="s">
        <v>9</v>
      </c>
      <c r="B6" s="5">
        <v>5</v>
      </c>
      <c r="C6" s="6" t="s">
        <v>3</v>
      </c>
      <c r="H6" s="35" t="s">
        <v>53</v>
      </c>
      <c r="I6" s="36"/>
      <c r="J6" s="36"/>
      <c r="K6" s="37"/>
      <c r="M6" s="38" t="s">
        <v>7</v>
      </c>
      <c r="N6" s="39">
        <f>N7*N8</f>
        <v>3.5000000000000004</v>
      </c>
      <c r="O6" s="32" t="s">
        <v>3</v>
      </c>
      <c r="P6" s="39">
        <f t="shared" ref="P6:V6" si="0">P7*P8</f>
        <v>3.5000000000000004</v>
      </c>
      <c r="Q6" s="32" t="s">
        <v>3</v>
      </c>
      <c r="R6" s="39">
        <f t="shared" si="0"/>
        <v>3.5</v>
      </c>
      <c r="S6" s="32" t="s">
        <v>3</v>
      </c>
      <c r="T6" s="39">
        <f t="shared" si="0"/>
        <v>3.5</v>
      </c>
      <c r="U6" s="32" t="s">
        <v>3</v>
      </c>
      <c r="V6" s="39">
        <f t="shared" si="0"/>
        <v>2.5</v>
      </c>
      <c r="W6" s="32" t="s">
        <v>3</v>
      </c>
      <c r="X6" s="39">
        <f t="shared" ref="X6" si="1">X7*X8</f>
        <v>0.5</v>
      </c>
      <c r="Y6" s="32" t="s">
        <v>3</v>
      </c>
      <c r="AA6" s="38" t="s">
        <v>7</v>
      </c>
      <c r="AB6" s="39">
        <v>3.5110000000000001</v>
      </c>
      <c r="AC6" s="32" t="s">
        <v>3</v>
      </c>
      <c r="AD6" s="39">
        <v>3.55</v>
      </c>
      <c r="AE6" s="32" t="s">
        <v>3</v>
      </c>
      <c r="AF6" s="39">
        <v>3.54</v>
      </c>
      <c r="AG6" s="32" t="s">
        <v>3</v>
      </c>
      <c r="AH6" s="39">
        <v>3.45</v>
      </c>
      <c r="AI6" s="32" t="s">
        <v>3</v>
      </c>
      <c r="AJ6" s="39">
        <v>2.4660000000000002</v>
      </c>
      <c r="AK6" s="32" t="s">
        <v>3</v>
      </c>
      <c r="AL6" s="39">
        <v>0.49399999999999999</v>
      </c>
      <c r="AM6" s="32" t="s">
        <v>3</v>
      </c>
    </row>
    <row r="7" spans="1:39" x14ac:dyDescent="0.35">
      <c r="A7" s="7" t="s">
        <v>15</v>
      </c>
      <c r="B7" s="8">
        <v>0</v>
      </c>
      <c r="C7" s="9" t="s">
        <v>3</v>
      </c>
      <c r="H7" s="35" t="s">
        <v>60</v>
      </c>
      <c r="I7" s="36"/>
      <c r="J7" s="36"/>
      <c r="K7" s="37"/>
      <c r="M7" s="7" t="s">
        <v>45</v>
      </c>
      <c r="N7" s="40">
        <f>MIN(3.5/N8,0.5)</f>
        <v>3.5000000000000003E-2</v>
      </c>
      <c r="O7" s="41" t="s">
        <v>10</v>
      </c>
      <c r="P7" s="40">
        <f t="shared" ref="P7:X7" si="2">MIN(3.5/P8,0.5)</f>
        <v>7.0000000000000007E-2</v>
      </c>
      <c r="Q7" s="41" t="s">
        <v>10</v>
      </c>
      <c r="R7" s="40">
        <f t="shared" si="2"/>
        <v>0.11666666666666667</v>
      </c>
      <c r="S7" s="41" t="s">
        <v>10</v>
      </c>
      <c r="T7" s="40">
        <f t="shared" si="2"/>
        <v>0.5</v>
      </c>
      <c r="U7" s="41" t="s">
        <v>10</v>
      </c>
      <c r="V7" s="40">
        <f t="shared" si="2"/>
        <v>0.5</v>
      </c>
      <c r="W7" s="41" t="s">
        <v>10</v>
      </c>
      <c r="X7" s="40">
        <f t="shared" si="2"/>
        <v>0.5</v>
      </c>
      <c r="Y7" s="41" t="s">
        <v>10</v>
      </c>
      <c r="AA7" s="7" t="s">
        <v>45</v>
      </c>
      <c r="AB7" s="40">
        <v>3.5110000000000002E-2</v>
      </c>
      <c r="AC7" s="41" t="s">
        <v>10</v>
      </c>
      <c r="AD7" s="40">
        <v>6.9599999999999995E-2</v>
      </c>
      <c r="AE7" s="41" t="s">
        <v>10</v>
      </c>
      <c r="AF7" s="40">
        <v>0.11700000000000001</v>
      </c>
      <c r="AG7" s="41" t="s">
        <v>10</v>
      </c>
      <c r="AH7" s="40">
        <v>0.49199999999999999</v>
      </c>
      <c r="AI7" s="41" t="s">
        <v>10</v>
      </c>
      <c r="AJ7" s="40">
        <v>0.49299999999999999</v>
      </c>
      <c r="AK7" s="41" t="s">
        <v>10</v>
      </c>
      <c r="AL7" s="40">
        <v>0.49399999999999999</v>
      </c>
      <c r="AM7" s="41" t="s">
        <v>10</v>
      </c>
    </row>
    <row r="8" spans="1:39" x14ac:dyDescent="0.35">
      <c r="A8" s="7" t="s">
        <v>16</v>
      </c>
      <c r="B8" s="8">
        <v>3.5</v>
      </c>
      <c r="C8" s="9" t="s">
        <v>3</v>
      </c>
      <c r="H8" s="35" t="s">
        <v>54</v>
      </c>
      <c r="I8" s="36"/>
      <c r="J8" s="36"/>
      <c r="K8" s="37"/>
      <c r="M8" s="7" t="s">
        <v>49</v>
      </c>
      <c r="N8" s="40">
        <v>100</v>
      </c>
      <c r="O8" s="42" t="s">
        <v>40</v>
      </c>
      <c r="P8" s="40">
        <v>50</v>
      </c>
      <c r="Q8" s="42" t="s">
        <v>40</v>
      </c>
      <c r="R8" s="43">
        <v>30</v>
      </c>
      <c r="S8" s="42" t="s">
        <v>40</v>
      </c>
      <c r="T8" s="40">
        <v>7</v>
      </c>
      <c r="U8" s="42" t="s">
        <v>40</v>
      </c>
      <c r="V8" s="40">
        <v>5</v>
      </c>
      <c r="W8" s="42" t="s">
        <v>40</v>
      </c>
      <c r="X8" s="40">
        <v>1</v>
      </c>
      <c r="Y8" s="42" t="s">
        <v>40</v>
      </c>
      <c r="AA8" s="7" t="s">
        <v>49</v>
      </c>
      <c r="AB8" s="40">
        <v>100</v>
      </c>
      <c r="AC8" s="42" t="s">
        <v>40</v>
      </c>
      <c r="AD8" s="40">
        <v>50</v>
      </c>
      <c r="AE8" s="42" t="s">
        <v>40</v>
      </c>
      <c r="AF8" s="43">
        <v>30</v>
      </c>
      <c r="AG8" s="42" t="s">
        <v>40</v>
      </c>
      <c r="AH8" s="40">
        <v>7</v>
      </c>
      <c r="AI8" s="42" t="s">
        <v>40</v>
      </c>
      <c r="AJ8" s="40">
        <v>5</v>
      </c>
      <c r="AK8" s="42" t="s">
        <v>40</v>
      </c>
      <c r="AL8" s="40">
        <v>1</v>
      </c>
      <c r="AM8" s="42" t="s">
        <v>40</v>
      </c>
    </row>
    <row r="9" spans="1:39" ht="18.600000000000001" thickBot="1" x14ac:dyDescent="0.4">
      <c r="A9" s="7" t="s">
        <v>17</v>
      </c>
      <c r="B9" s="8">
        <v>0.5</v>
      </c>
      <c r="C9" s="9" t="s">
        <v>10</v>
      </c>
      <c r="H9" s="35" t="s">
        <v>55</v>
      </c>
      <c r="I9" s="36"/>
      <c r="J9" s="36"/>
      <c r="K9" s="37"/>
      <c r="M9" s="7" t="s">
        <v>8</v>
      </c>
      <c r="N9" s="40">
        <v>1.75</v>
      </c>
      <c r="O9" s="44" t="s">
        <v>3</v>
      </c>
      <c r="P9" s="40">
        <v>1.75</v>
      </c>
      <c r="Q9" s="44" t="s">
        <v>3</v>
      </c>
      <c r="R9" s="43">
        <v>1.75</v>
      </c>
      <c r="S9" s="44" t="s">
        <v>3</v>
      </c>
      <c r="T9" s="40">
        <v>1.75</v>
      </c>
      <c r="U9" s="44" t="s">
        <v>3</v>
      </c>
      <c r="V9" s="40">
        <v>1.75</v>
      </c>
      <c r="W9" s="44" t="s">
        <v>3</v>
      </c>
      <c r="X9" s="40">
        <v>1.75</v>
      </c>
      <c r="Y9" s="44" t="s">
        <v>3</v>
      </c>
      <c r="AA9" s="7" t="s">
        <v>8</v>
      </c>
      <c r="AB9" s="40">
        <v>1.7549999999999999</v>
      </c>
      <c r="AC9" s="44" t="s">
        <v>3</v>
      </c>
      <c r="AD9" s="40">
        <v>1.7549999999999999</v>
      </c>
      <c r="AE9" s="44" t="s">
        <v>3</v>
      </c>
      <c r="AF9" s="43">
        <v>1.7549999999999999</v>
      </c>
      <c r="AG9" s="44" t="s">
        <v>3</v>
      </c>
      <c r="AH9" s="40">
        <v>1.7549999999999999</v>
      </c>
      <c r="AI9" s="44" t="s">
        <v>3</v>
      </c>
      <c r="AJ9" s="40">
        <v>1.7549999999999999</v>
      </c>
      <c r="AK9" s="44" t="s">
        <v>3</v>
      </c>
      <c r="AL9" s="40">
        <v>1.7549999999999999</v>
      </c>
      <c r="AM9" s="44" t="s">
        <v>3</v>
      </c>
    </row>
    <row r="10" spans="1:39" ht="19.2" thickTop="1" thickBot="1" x14ac:dyDescent="0.4">
      <c r="A10" s="7" t="s">
        <v>11</v>
      </c>
      <c r="B10" s="8">
        <v>1.75</v>
      </c>
      <c r="C10" s="9" t="s">
        <v>4</v>
      </c>
      <c r="H10" s="35" t="s">
        <v>56</v>
      </c>
      <c r="I10" s="36"/>
      <c r="J10" s="36"/>
      <c r="K10" s="37"/>
      <c r="M10" s="7" t="s">
        <v>46</v>
      </c>
      <c r="N10" s="40">
        <f>N6/2</f>
        <v>1.7500000000000002</v>
      </c>
      <c r="O10" s="32" t="s">
        <v>3</v>
      </c>
      <c r="P10" s="40">
        <f t="shared" ref="P10:V10" si="3">P6/2</f>
        <v>1.7500000000000002</v>
      </c>
      <c r="Q10" s="32" t="s">
        <v>3</v>
      </c>
      <c r="R10" s="40">
        <f t="shared" si="3"/>
        <v>1.75</v>
      </c>
      <c r="S10" s="32" t="s">
        <v>3</v>
      </c>
      <c r="T10" s="40">
        <f t="shared" si="3"/>
        <v>1.75</v>
      </c>
      <c r="U10" s="32" t="s">
        <v>3</v>
      </c>
      <c r="V10" s="40">
        <f t="shared" si="3"/>
        <v>1.25</v>
      </c>
      <c r="W10" s="32" t="s">
        <v>3</v>
      </c>
      <c r="X10" s="40">
        <f t="shared" ref="X10" si="4">X6/2</f>
        <v>0.25</v>
      </c>
      <c r="Y10" s="32" t="s">
        <v>3</v>
      </c>
      <c r="AA10" s="7" t="s">
        <v>46</v>
      </c>
      <c r="AB10" s="40">
        <v>1.7549999999999999</v>
      </c>
      <c r="AC10" s="32" t="s">
        <v>3</v>
      </c>
      <c r="AD10" s="40">
        <v>1.7549999999999999</v>
      </c>
      <c r="AE10" s="32" t="s">
        <v>3</v>
      </c>
      <c r="AF10" s="40">
        <v>1.7749999999999999</v>
      </c>
      <c r="AG10" s="32" t="s">
        <v>3</v>
      </c>
      <c r="AH10" s="40">
        <v>1.7250000000000001</v>
      </c>
      <c r="AI10" s="32" t="s">
        <v>3</v>
      </c>
      <c r="AJ10" s="40">
        <v>1.2330000000000001</v>
      </c>
      <c r="AK10" s="32" t="s">
        <v>3</v>
      </c>
      <c r="AL10" s="40">
        <v>0.247</v>
      </c>
      <c r="AM10" s="32" t="s">
        <v>3</v>
      </c>
    </row>
    <row r="11" spans="1:39" ht="19.2" thickTop="1" thickBot="1" x14ac:dyDescent="0.4">
      <c r="A11" s="7" t="s">
        <v>12</v>
      </c>
      <c r="B11" s="10">
        <v>0</v>
      </c>
      <c r="C11" s="11" t="s">
        <v>4</v>
      </c>
      <c r="H11" s="35" t="s">
        <v>57</v>
      </c>
      <c r="I11" s="36"/>
      <c r="J11" s="36"/>
      <c r="K11" s="37"/>
      <c r="M11" s="7" t="s">
        <v>50</v>
      </c>
      <c r="N11" s="40">
        <f>N6-N5+N13</f>
        <v>-1.4789999999999996</v>
      </c>
      <c r="O11" s="32" t="s">
        <v>3</v>
      </c>
      <c r="P11" s="40">
        <f>P6-P5+P13</f>
        <v>-1.4579999999999995</v>
      </c>
      <c r="Q11" s="32" t="s">
        <v>3</v>
      </c>
      <c r="R11" s="40">
        <f>R6-R5+R13</f>
        <v>-1.43</v>
      </c>
      <c r="S11" s="32" t="s">
        <v>3</v>
      </c>
      <c r="T11" s="40">
        <f>T6-T5+T13</f>
        <v>-1.2</v>
      </c>
      <c r="U11" s="32" t="s">
        <v>3</v>
      </c>
      <c r="V11" s="40">
        <f>V6-V5+V13</f>
        <v>-2.2000000000000002</v>
      </c>
      <c r="W11" s="32" t="s">
        <v>3</v>
      </c>
      <c r="X11" s="40">
        <f>X6-X5+X13</f>
        <v>-4.2</v>
      </c>
      <c r="Y11" s="32" t="s">
        <v>3</v>
      </c>
      <c r="AA11" s="7" t="s">
        <v>50</v>
      </c>
      <c r="AB11" s="40">
        <v>-1.466</v>
      </c>
      <c r="AC11" s="32" t="s">
        <v>3</v>
      </c>
      <c r="AD11" s="40">
        <v>-1.44</v>
      </c>
      <c r="AE11" s="32" t="s">
        <v>3</v>
      </c>
      <c r="AF11" s="40">
        <v>-1.4179999999999999</v>
      </c>
      <c r="AG11" s="32" t="s">
        <v>3</v>
      </c>
      <c r="AH11" s="40">
        <v>-1.25</v>
      </c>
      <c r="AI11" s="32" t="s">
        <v>3</v>
      </c>
      <c r="AJ11" s="40">
        <v>-2.23</v>
      </c>
      <c r="AK11" s="32" t="s">
        <v>3</v>
      </c>
      <c r="AL11" s="40">
        <v>-4.2</v>
      </c>
      <c r="AM11" s="32" t="s">
        <v>3</v>
      </c>
    </row>
    <row r="12" spans="1:39" ht="19.2" thickTop="1" thickBot="1" x14ac:dyDescent="0.4">
      <c r="A12" s="12" t="s">
        <v>18</v>
      </c>
      <c r="B12" s="13">
        <v>5</v>
      </c>
      <c r="C12" s="14" t="s">
        <v>19</v>
      </c>
      <c r="H12" s="35" t="s">
        <v>58</v>
      </c>
      <c r="I12" s="36"/>
      <c r="J12" s="36"/>
      <c r="K12" s="37"/>
      <c r="M12" s="45" t="s">
        <v>47</v>
      </c>
      <c r="N12" s="40">
        <f>ABS(N11)*N7</f>
        <v>5.1764999999999992E-2</v>
      </c>
      <c r="O12" s="32" t="s">
        <v>4</v>
      </c>
      <c r="P12" s="40">
        <f>ABS(P11)*P7</f>
        <v>0.10205999999999997</v>
      </c>
      <c r="Q12" s="32" t="s">
        <v>4</v>
      </c>
      <c r="R12" s="40">
        <f>ABS(R11)*R7</f>
        <v>0.16683333333333333</v>
      </c>
      <c r="S12" s="32" t="s">
        <v>4</v>
      </c>
      <c r="T12" s="40">
        <f>ABS(T11)*T7</f>
        <v>0.6</v>
      </c>
      <c r="U12" s="32" t="s">
        <v>4</v>
      </c>
      <c r="V12" s="40">
        <f>ABS(V11)*V7</f>
        <v>1.1000000000000001</v>
      </c>
      <c r="W12" s="32" t="s">
        <v>4</v>
      </c>
      <c r="X12" s="40">
        <f>ABS(X11)*X7</f>
        <v>2.1</v>
      </c>
      <c r="Y12" s="32" t="s">
        <v>4</v>
      </c>
      <c r="AA12" s="45" t="s">
        <v>47</v>
      </c>
      <c r="AB12" s="40">
        <f>ABS(AB11*AB7)</f>
        <v>5.1471260000000005E-2</v>
      </c>
      <c r="AC12" s="32" t="s">
        <v>4</v>
      </c>
      <c r="AD12" s="40">
        <f t="shared" ref="AD12:AL12" si="5">ABS(AD11*AD7)</f>
        <v>0.10022399999999999</v>
      </c>
      <c r="AE12" s="32" t="s">
        <v>4</v>
      </c>
      <c r="AF12" s="40">
        <f t="shared" si="5"/>
        <v>0.165906</v>
      </c>
      <c r="AG12" s="32" t="s">
        <v>4</v>
      </c>
      <c r="AH12" s="40">
        <f t="shared" si="5"/>
        <v>0.61499999999999999</v>
      </c>
      <c r="AI12" s="32" t="s">
        <v>4</v>
      </c>
      <c r="AJ12" s="40">
        <f t="shared" si="5"/>
        <v>1.0993899999999999</v>
      </c>
      <c r="AK12" s="32" t="s">
        <v>4</v>
      </c>
      <c r="AL12" s="40">
        <f t="shared" si="5"/>
        <v>2.0748000000000002</v>
      </c>
      <c r="AM12" s="32" t="s">
        <v>4</v>
      </c>
    </row>
    <row r="13" spans="1:39" ht="18.600000000000001" thickTop="1" x14ac:dyDescent="0.35">
      <c r="H13" s="46" t="s">
        <v>59</v>
      </c>
      <c r="I13" s="47"/>
      <c r="J13" s="47"/>
      <c r="K13" s="48"/>
      <c r="M13" s="45" t="s">
        <v>48</v>
      </c>
      <c r="N13" s="40">
        <f>N7*0.6</f>
        <v>2.1000000000000001E-2</v>
      </c>
      <c r="O13" s="32" t="s">
        <v>3</v>
      </c>
      <c r="P13" s="40">
        <f>P7*0.6</f>
        <v>4.2000000000000003E-2</v>
      </c>
      <c r="Q13" s="32" t="s">
        <v>3</v>
      </c>
      <c r="R13" s="40">
        <f>R7*0.6</f>
        <v>6.9999999999999993E-2</v>
      </c>
      <c r="S13" s="32" t="s">
        <v>3</v>
      </c>
      <c r="T13" s="40">
        <f>T7*0.6</f>
        <v>0.3</v>
      </c>
      <c r="U13" s="32" t="s">
        <v>3</v>
      </c>
      <c r="V13" s="40">
        <f>V7*0.6</f>
        <v>0.3</v>
      </c>
      <c r="W13" s="32" t="s">
        <v>3</v>
      </c>
      <c r="X13" s="40">
        <f>X7*0.6</f>
        <v>0.3</v>
      </c>
      <c r="Y13" s="32" t="s">
        <v>3</v>
      </c>
      <c r="AA13" s="45" t="s">
        <v>48</v>
      </c>
      <c r="AB13" s="40">
        <f>0.6*AB7</f>
        <v>2.1066000000000001E-2</v>
      </c>
      <c r="AC13" s="32" t="s">
        <v>3</v>
      </c>
      <c r="AD13" s="40">
        <f>0.6*AD7</f>
        <v>4.1759999999999999E-2</v>
      </c>
      <c r="AE13" s="32" t="s">
        <v>3</v>
      </c>
      <c r="AF13" s="40">
        <f>0.6*AF7</f>
        <v>7.0199999999999999E-2</v>
      </c>
      <c r="AG13" s="32" t="s">
        <v>3</v>
      </c>
      <c r="AH13" s="40">
        <f>0.6*AH7</f>
        <v>0.29519999999999996</v>
      </c>
      <c r="AI13" s="32" t="s">
        <v>3</v>
      </c>
      <c r="AJ13" s="40">
        <f>0.6*AJ7</f>
        <v>0.29580000000000001</v>
      </c>
      <c r="AK13" s="32" t="s">
        <v>3</v>
      </c>
      <c r="AL13" s="40">
        <f>0.6*AL7</f>
        <v>0.2964</v>
      </c>
      <c r="AM13" s="32" t="s">
        <v>3</v>
      </c>
    </row>
    <row r="18" spans="1:9" x14ac:dyDescent="0.35">
      <c r="A18" s="1" t="s">
        <v>26</v>
      </c>
    </row>
    <row r="19" spans="1:9" ht="18.600000000000001" thickBot="1" x14ac:dyDescent="0.4"/>
    <row r="20" spans="1:9" ht="19.2" thickTop="1" thickBot="1" x14ac:dyDescent="0.4">
      <c r="A20" s="3" t="s">
        <v>0</v>
      </c>
      <c r="B20" s="3" t="s">
        <v>1</v>
      </c>
      <c r="C20" s="3" t="s">
        <v>5</v>
      </c>
    </row>
    <row r="21" spans="1:9" ht="18.600000000000001" thickTop="1" x14ac:dyDescent="0.35">
      <c r="A21" s="15" t="s">
        <v>20</v>
      </c>
      <c r="B21" s="16" t="s">
        <v>61</v>
      </c>
      <c r="C21" s="17"/>
    </row>
    <row r="22" spans="1:9" ht="18.600000000000001" thickBot="1" x14ac:dyDescent="0.4">
      <c r="A22" s="18" t="s">
        <v>22</v>
      </c>
      <c r="B22" s="13">
        <v>5</v>
      </c>
      <c r="C22" s="19" t="s">
        <v>3</v>
      </c>
    </row>
    <row r="23" spans="1:9" ht="19.2" thickTop="1" thickBot="1" x14ac:dyDescent="0.4">
      <c r="A23" s="18" t="s">
        <v>23</v>
      </c>
      <c r="B23" s="13">
        <f>B6-(B27*0.6)</f>
        <v>4.7</v>
      </c>
      <c r="C23" s="20" t="s">
        <v>3</v>
      </c>
    </row>
    <row r="24" spans="1:9" ht="19.2" thickTop="1" thickBot="1" x14ac:dyDescent="0.4">
      <c r="A24" s="21" t="s">
        <v>43</v>
      </c>
      <c r="B24" s="13">
        <f>5</f>
        <v>5</v>
      </c>
      <c r="C24" s="20" t="s">
        <v>3</v>
      </c>
      <c r="H24" s="22"/>
      <c r="I24" s="23"/>
    </row>
    <row r="25" spans="1:9" ht="19.2" thickTop="1" thickBot="1" x14ac:dyDescent="0.4">
      <c r="A25" s="12" t="s">
        <v>24</v>
      </c>
      <c r="B25" s="13">
        <v>2.5</v>
      </c>
      <c r="C25" s="24" t="s">
        <v>3</v>
      </c>
    </row>
    <row r="26" spans="1:9" ht="19.2" thickTop="1" thickBot="1" x14ac:dyDescent="0.4">
      <c r="A26" s="12" t="s">
        <v>25</v>
      </c>
      <c r="B26" s="13">
        <v>3.5</v>
      </c>
      <c r="C26" s="20" t="s">
        <v>3</v>
      </c>
    </row>
    <row r="27" spans="1:9" ht="19.2" thickTop="1" thickBot="1" x14ac:dyDescent="0.4">
      <c r="A27" s="25" t="s">
        <v>21</v>
      </c>
      <c r="B27" s="13">
        <v>0.5</v>
      </c>
      <c r="C27" s="26" t="s">
        <v>10</v>
      </c>
    </row>
    <row r="28" spans="1:9" ht="19.2" thickTop="1" thickBot="1" x14ac:dyDescent="0.4">
      <c r="A28" s="21" t="s">
        <v>27</v>
      </c>
      <c r="B28" s="13">
        <f>ABS((B23-B25)*B27)</f>
        <v>1.1000000000000001</v>
      </c>
      <c r="C28" s="27" t="s">
        <v>4</v>
      </c>
    </row>
    <row r="29" spans="1:9" ht="19.2" thickTop="1" thickBot="1" x14ac:dyDescent="0.4">
      <c r="A29" s="21" t="s">
        <v>28</v>
      </c>
      <c r="B29" s="13">
        <f>ABS((B23-B26)*B27)</f>
        <v>0.60000000000000009</v>
      </c>
      <c r="C29" s="20" t="s">
        <v>4</v>
      </c>
    </row>
    <row r="30" spans="1:9" ht="18.600000000000001" thickTop="1" x14ac:dyDescent="0.35"/>
    <row r="35" spans="1:4" x14ac:dyDescent="0.35">
      <c r="A35" s="1" t="s">
        <v>29</v>
      </c>
    </row>
    <row r="36" spans="1:4" ht="18.600000000000001" thickBot="1" x14ac:dyDescent="0.4"/>
    <row r="37" spans="1:4" ht="19.2" thickTop="1" thickBot="1" x14ac:dyDescent="0.4">
      <c r="A37" s="3" t="s">
        <v>0</v>
      </c>
      <c r="B37" s="3" t="s">
        <v>1</v>
      </c>
      <c r="C37" s="3" t="s">
        <v>5</v>
      </c>
    </row>
    <row r="38" spans="1:4" ht="18.600000000000001" thickTop="1" x14ac:dyDescent="0.35">
      <c r="A38" s="15" t="s">
        <v>33</v>
      </c>
      <c r="B38" s="16" t="s">
        <v>62</v>
      </c>
      <c r="C38" s="17"/>
    </row>
    <row r="39" spans="1:4" ht="18.600000000000001" thickBot="1" x14ac:dyDescent="0.4">
      <c r="A39" s="18" t="s">
        <v>30</v>
      </c>
      <c r="B39" s="13">
        <v>5</v>
      </c>
      <c r="C39" s="19" t="s">
        <v>3</v>
      </c>
    </row>
    <row r="40" spans="1:4" ht="19.2" thickTop="1" thickBot="1" x14ac:dyDescent="0.4">
      <c r="A40" s="18" t="s">
        <v>8</v>
      </c>
      <c r="B40" s="13">
        <v>1.75</v>
      </c>
      <c r="C40" s="20" t="s">
        <v>3</v>
      </c>
    </row>
    <row r="41" spans="1:4" ht="19.2" thickTop="1" thickBot="1" x14ac:dyDescent="0.4">
      <c r="A41" s="21" t="s">
        <v>44</v>
      </c>
      <c r="B41" s="13">
        <v>3.5</v>
      </c>
      <c r="C41" s="20" t="s">
        <v>3</v>
      </c>
      <c r="D41" s="2" t="s">
        <v>63</v>
      </c>
    </row>
    <row r="42" spans="1:4" ht="19.2" thickTop="1" thickBot="1" x14ac:dyDescent="0.4">
      <c r="A42" s="12" t="s">
        <v>31</v>
      </c>
      <c r="B42" s="13">
        <v>1.25</v>
      </c>
      <c r="C42" s="24" t="s">
        <v>3</v>
      </c>
    </row>
    <row r="43" spans="1:4" ht="19.2" thickTop="1" thickBot="1" x14ac:dyDescent="0.4">
      <c r="A43" s="12" t="s">
        <v>32</v>
      </c>
      <c r="B43" s="13">
        <v>1.75</v>
      </c>
      <c r="C43" s="20" t="s">
        <v>3</v>
      </c>
    </row>
    <row r="44" spans="1:4" ht="18.600000000000001" thickTop="1" x14ac:dyDescent="0.35"/>
    <row r="49" spans="1:3" x14ac:dyDescent="0.35">
      <c r="A49" s="1" t="s">
        <v>34</v>
      </c>
    </row>
    <row r="50" spans="1:3" ht="18.600000000000001" thickBot="1" x14ac:dyDescent="0.4"/>
    <row r="51" spans="1:3" ht="19.2" thickTop="1" thickBot="1" x14ac:dyDescent="0.4">
      <c r="A51" s="3" t="s">
        <v>0</v>
      </c>
      <c r="B51" s="3" t="s">
        <v>1</v>
      </c>
      <c r="C51" s="3" t="s">
        <v>5</v>
      </c>
    </row>
    <row r="52" spans="1:3" ht="18.600000000000001" thickTop="1" x14ac:dyDescent="0.35">
      <c r="A52" s="15" t="s">
        <v>35</v>
      </c>
      <c r="B52" s="16" t="s">
        <v>36</v>
      </c>
      <c r="C52" s="17"/>
    </row>
    <row r="53" spans="1:3" ht="18.600000000000001" thickBot="1" x14ac:dyDescent="0.4">
      <c r="A53" s="18" t="s">
        <v>37</v>
      </c>
      <c r="B53" s="13">
        <f>B6</f>
        <v>5</v>
      </c>
      <c r="C53" s="19" t="s">
        <v>3</v>
      </c>
    </row>
    <row r="54" spans="1:3" ht="19.2" thickTop="1" thickBot="1" x14ac:dyDescent="0.4">
      <c r="A54" s="18" t="s">
        <v>42</v>
      </c>
      <c r="B54" s="13">
        <v>0.3</v>
      </c>
      <c r="C54" s="20" t="s">
        <v>3</v>
      </c>
    </row>
    <row r="55" spans="1:3" ht="19.2" thickTop="1" thickBot="1" x14ac:dyDescent="0.4">
      <c r="A55" s="18" t="s">
        <v>38</v>
      </c>
      <c r="B55" s="13">
        <f>ABS(B6-(B56*B27))</f>
        <v>4.7</v>
      </c>
      <c r="C55" s="20" t="s">
        <v>3</v>
      </c>
    </row>
    <row r="56" spans="1:3" ht="19.2" thickTop="1" thickBot="1" x14ac:dyDescent="0.4">
      <c r="A56" s="21" t="s">
        <v>39</v>
      </c>
      <c r="B56" s="13">
        <v>0.6</v>
      </c>
      <c r="C56" s="20" t="s">
        <v>40</v>
      </c>
    </row>
    <row r="57" spans="1:3" ht="19.2" thickTop="1" thickBot="1" x14ac:dyDescent="0.4">
      <c r="A57" s="12" t="s">
        <v>41</v>
      </c>
      <c r="B57" s="13">
        <v>0.5</v>
      </c>
      <c r="C57" s="24" t="s">
        <v>10</v>
      </c>
    </row>
    <row r="58" spans="1:3" ht="18.600000000000001" thickTop="1" x14ac:dyDescent="0.35"/>
  </sheetData>
  <pageMargins left="0.7" right="0.7" top="0.75" bottom="0.75" header="0.3" footer="0.3"/>
  <pageSetup paperSize="9" scale="34" orientation="landscape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Kyle Premadasa</cp:lastModifiedBy>
  <cp:lastPrinted>2026-08-31T02:23:34Z</cp:lastPrinted>
  <dcterms:created xsi:type="dcterms:W3CDTF">2025-12-20T08:56:10Z</dcterms:created>
  <dcterms:modified xsi:type="dcterms:W3CDTF">2026-10-01T22:00:24Z</dcterms:modified>
</cp:coreProperties>
</file>