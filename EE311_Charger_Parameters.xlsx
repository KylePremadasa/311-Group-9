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deb8a6805bc7d3/Documents/311 Github/311/"/>
    </mc:Choice>
  </mc:AlternateContent>
  <xr:revisionPtr revIDLastSave="98" documentId="8_{2F429902-05CA-41B1-BA41-8AC75F8D5DCC}" xr6:coauthVersionLast="47" xr6:coauthVersionMax="47" xr10:uidLastSave="{53D8691B-3200-4762-AB0E-7BF13A8B93DE}"/>
  <bookViews>
    <workbookView xWindow="-108" yWindow="-108" windowWidth="23256" windowHeight="12456" xr2:uid="{0EA872C3-4804-43CB-9F0B-5F94DB7B4351}"/>
  </bookViews>
  <sheets>
    <sheet name="Sheet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" i="3" l="1"/>
  <c r="O51" i="3" s="1"/>
  <c r="Q50" i="3"/>
  <c r="Q51" i="3" s="1"/>
  <c r="S50" i="3"/>
  <c r="S51" i="3" s="1"/>
  <c r="U50" i="3"/>
  <c r="U51" i="3" s="1"/>
  <c r="M50" i="3"/>
  <c r="M51" i="3" s="1"/>
  <c r="M46" i="3"/>
  <c r="O46" i="3"/>
  <c r="O45" i="3" s="1"/>
  <c r="Q46" i="3"/>
  <c r="Q45" i="3" s="1"/>
  <c r="S46" i="3"/>
  <c r="S45" i="3" s="1"/>
  <c r="U46" i="3"/>
  <c r="U45" i="3" s="1"/>
  <c r="B55" i="3"/>
  <c r="B54" i="3"/>
  <c r="B53" i="3"/>
  <c r="B24" i="3"/>
  <c r="B23" i="3"/>
  <c r="B29" i="3" s="1"/>
  <c r="M52" i="3" l="1"/>
  <c r="U52" i="3"/>
  <c r="S52" i="3"/>
  <c r="Q52" i="3"/>
  <c r="O52" i="3"/>
  <c r="U49" i="3"/>
  <c r="S49" i="3"/>
  <c r="Q49" i="3"/>
  <c r="O49" i="3"/>
  <c r="M45" i="3"/>
  <c r="B28" i="3"/>
  <c r="M49" i="3" l="1"/>
</calcChain>
</file>

<file path=xl/sharedStrings.xml><?xml version="1.0" encoding="utf-8"?>
<sst xmlns="http://schemas.openxmlformats.org/spreadsheetml/2006/main" count="215" uniqueCount="64">
  <si>
    <t>Parameter</t>
  </si>
  <si>
    <t>Value</t>
  </si>
  <si>
    <t>Unit</t>
  </si>
  <si>
    <t>V</t>
  </si>
  <si>
    <t>W</t>
  </si>
  <si>
    <t>Unit (eq)</t>
  </si>
  <si>
    <t>Evaluating Steady-State Operating Conditions (Theoretical)</t>
  </si>
  <si>
    <t>Vout</t>
  </si>
  <si>
    <t>Vref</t>
  </si>
  <si>
    <t>Vin</t>
  </si>
  <si>
    <t>A</t>
  </si>
  <si>
    <t>Max Pout(avg)</t>
  </si>
  <si>
    <t>Min Pout(avg)</t>
  </si>
  <si>
    <t>Charger Design</t>
  </si>
  <si>
    <t>Charger Design Specifications</t>
  </si>
  <si>
    <t>Min Vout(avg)</t>
  </si>
  <si>
    <t>Max Vout(avg)</t>
  </si>
  <si>
    <t>Max Current(avg)</t>
  </si>
  <si>
    <t>Voltage Regulation</t>
  </si>
  <si>
    <t>%</t>
  </si>
  <si>
    <t>Selected Mosfet</t>
  </si>
  <si>
    <t>IRF9Z24N</t>
  </si>
  <si>
    <t>Max ID</t>
  </si>
  <si>
    <t>Max Source Voltage</t>
  </si>
  <si>
    <t>Source Voltage @ Max ID</t>
  </si>
  <si>
    <t>Expected Drain Voltage(min)</t>
  </si>
  <si>
    <t>Expected Drain Voltage(max)</t>
  </si>
  <si>
    <t>Evaluating Key Mosfet Parameters (Theoretical)</t>
  </si>
  <si>
    <t>Power Dissipation @ 2.5Vout</t>
  </si>
  <si>
    <t>Power Dissipation @ 3.5Vout</t>
  </si>
  <si>
    <t>Evaluating Key Opamp Parameters (Theoretical)</t>
  </si>
  <si>
    <t>LM358</t>
  </si>
  <si>
    <t>Supply Voltage</t>
  </si>
  <si>
    <t>Feedback Voltage @ 2.5 Vout</t>
  </si>
  <si>
    <t>Feedback Voltage @ 3.5 Vout</t>
  </si>
  <si>
    <t>Selected Opamp</t>
  </si>
  <si>
    <t>Evaluating Key BJT Parameters (Theoretical)</t>
  </si>
  <si>
    <t>Selected BJT</t>
  </si>
  <si>
    <t>BD140</t>
  </si>
  <si>
    <t>Emitter Voltage</t>
  </si>
  <si>
    <t>Base Voltage @ Current Limit</t>
  </si>
  <si>
    <t xml:space="preserve">Sense Resitance </t>
  </si>
  <si>
    <t>Ω</t>
  </si>
  <si>
    <t>Current Limit</t>
  </si>
  <si>
    <t>VEB Turn on voltage</t>
  </si>
  <si>
    <t>Stead State Gate Voltage</t>
  </si>
  <si>
    <t>Steady State Output Voltage</t>
  </si>
  <si>
    <t>Component Values</t>
  </si>
  <si>
    <t xml:space="preserve">Iout </t>
  </si>
  <si>
    <t>Vfb</t>
  </si>
  <si>
    <t>Mpower</t>
  </si>
  <si>
    <t>Vrsense</t>
  </si>
  <si>
    <t>Rload</t>
  </si>
  <si>
    <t>VDS</t>
  </si>
  <si>
    <t>Evaluating Steady-State Operating Conditions (Simulation)</t>
  </si>
  <si>
    <t>Vin = 5 V</t>
  </si>
  <si>
    <t>Vout = Iout × Rload</t>
  </si>
  <si>
    <t>Iout = MIN(3.5/Rload, Ilimit)</t>
  </si>
  <si>
    <t>Selected test value</t>
  </si>
  <si>
    <t>Vref = Vout(target) × R7/(R6+R7)</t>
  </si>
  <si>
    <t>Vfb = Vout × R7/(R6+R7)</t>
  </si>
  <si>
    <t>VDS = Vdrain - Vsource</t>
  </si>
  <si>
    <t>Pmos = ABS(VDS) × ID</t>
  </si>
  <si>
    <t>Vrsense = Iout × Rsense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</si>
</sst>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3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</cellStyleXfs>
  <cellXfs count="52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49" fontId="0" fillId="0" borderId="12" xfId="0" applyNumberFormat="1" applyBorder="1"/>
    <xf numFmtId="49" fontId="0" fillId="0" borderId="13" xfId="0" applyNumberFormat="1" applyBorder="1"/>
    <xf numFmtId="49" fontId="0" fillId="0" borderId="10" xfId="0" applyNumberFormat="1" applyBorder="1"/>
    <xf numFmtId="0" fontId="1" fillId="3" borderId="16" xfId="2" applyBorder="1"/>
    <xf numFmtId="164" fontId="0" fillId="0" borderId="0" xfId="0" applyNumberFormat="1"/>
    <xf numFmtId="49" fontId="0" fillId="0" borderId="0" xfId="0" applyNumberFormat="1"/>
    <xf numFmtId="0" fontId="0" fillId="3" borderId="2" xfId="2" applyFont="1" applyBorder="1"/>
    <xf numFmtId="0" fontId="0" fillId="3" borderId="5" xfId="2" applyFont="1" applyBorder="1"/>
    <xf numFmtId="2" fontId="0" fillId="4" borderId="17" xfId="0" applyNumberFormat="1" applyFill="1" applyBorder="1"/>
    <xf numFmtId="0" fontId="0" fillId="0" borderId="18" xfId="0" applyBorder="1"/>
    <xf numFmtId="0" fontId="0" fillId="3" borderId="19" xfId="2" applyFont="1" applyBorder="1"/>
    <xf numFmtId="0" fontId="0" fillId="3" borderId="20" xfId="2" applyFont="1" applyBorder="1"/>
    <xf numFmtId="2" fontId="0" fillId="0" borderId="21" xfId="0" applyNumberFormat="1" applyBorder="1"/>
    <xf numFmtId="49" fontId="0" fillId="0" borderId="22" xfId="0" applyNumberFormat="1" applyBorder="1"/>
    <xf numFmtId="0" fontId="0" fillId="3" borderId="23" xfId="2" applyFont="1" applyBorder="1"/>
    <xf numFmtId="49" fontId="0" fillId="0" borderId="24" xfId="0" applyNumberFormat="1" applyBorder="1"/>
    <xf numFmtId="0" fontId="0" fillId="3" borderId="11" xfId="2" applyFont="1" applyBorder="1"/>
    <xf numFmtId="0" fontId="0" fillId="3" borderId="25" xfId="2" applyFont="1" applyBorder="1"/>
    <xf numFmtId="49" fontId="0" fillId="0" borderId="26" xfId="0" applyNumberFormat="1" applyBorder="1"/>
    <xf numFmtId="0" fontId="0" fillId="3" borderId="8" xfId="2" applyFont="1" applyBorder="1"/>
    <xf numFmtId="165" fontId="0" fillId="4" borderId="6" xfId="0" applyNumberFormat="1" applyFill="1" applyBorder="1"/>
    <xf numFmtId="0" fontId="5" fillId="0" borderId="27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5" fillId="0" borderId="34" xfId="0" applyFont="1" applyBorder="1"/>
    <xf numFmtId="0" fontId="5" fillId="0" borderId="0" xfId="0" applyFont="1" applyBorder="1"/>
    <xf numFmtId="165" fontId="0" fillId="0" borderId="26" xfId="0" applyNumberFormat="1" applyBorder="1"/>
    <xf numFmtId="165" fontId="0" fillId="4" borderId="3" xfId="0" applyNumberFormat="1" applyFill="1" applyBorder="1"/>
    <xf numFmtId="165" fontId="0" fillId="0" borderId="3" xfId="0" applyNumberFormat="1" applyBorder="1"/>
    <xf numFmtId="165" fontId="0" fillId="5" borderId="3" xfId="0" applyNumberFormat="1" applyFill="1" applyBorder="1"/>
    <xf numFmtId="165" fontId="0" fillId="0" borderId="15" xfId="0" applyNumberFormat="1" applyBorder="1"/>
    <xf numFmtId="165" fontId="0" fillId="4" borderId="14" xfId="0" applyNumberFormat="1" applyFill="1" applyBorder="1"/>
    <xf numFmtId="165" fontId="0" fillId="0" borderId="13" xfId="0" applyNumberFormat="1" applyBorder="1"/>
    <xf numFmtId="165" fontId="0" fillId="5" borderId="6" xfId="0" applyNumberFormat="1" applyFill="1" applyBorder="1"/>
    <xf numFmtId="165" fontId="0" fillId="0" borderId="6" xfId="0" applyNumberFormat="1" applyBorder="1"/>
  </cellXfs>
  <cellStyles count="3">
    <cellStyle name="20% - Accent1" xfId="2" builtinId="30"/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522941</xdr:colOff>
      <xdr:row>4</xdr:row>
      <xdr:rowOff>0</xdr:rowOff>
    </xdr:from>
    <xdr:to>
      <xdr:col>28</xdr:col>
      <xdr:colOff>593670</xdr:colOff>
      <xdr:row>36</xdr:row>
      <xdr:rowOff>44998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3EA8CA-1D5B-7FF4-5FE3-7ED31E4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29289" y="877957"/>
          <a:ext cx="14418885" cy="62569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0521C-5B07-44ED-8604-0670432A7445}">
  <sheetPr>
    <pageSetUpPr fitToPage="1"/>
  </sheetPr>
  <dimension ref="A1:AI58"/>
  <sheetViews>
    <sheetView tabSelected="1" topLeftCell="H27" zoomScale="82" zoomScaleNormal="115" workbookViewId="0">
      <selection activeCell="K39" sqref="K39"/>
    </sheetView>
  </sheetViews>
  <sheetFormatPr defaultRowHeight="14.4" x14ac:dyDescent="0.3"/>
  <cols>
    <col min="1" max="1" width="28.44140625" customWidth="1"/>
    <col min="2" max="2" width="8.88671875" customWidth="1"/>
    <col min="12" max="12" width="10.77734375" customWidth="1"/>
    <col min="25" max="25" width="10.5546875" customWidth="1"/>
  </cols>
  <sheetData>
    <row r="1" spans="1:7" ht="21" x14ac:dyDescent="0.4">
      <c r="A1" s="1" t="s">
        <v>13</v>
      </c>
    </row>
    <row r="3" spans="1:7" ht="18" x14ac:dyDescent="0.35">
      <c r="A3" s="2" t="s">
        <v>14</v>
      </c>
      <c r="G3" s="2" t="s">
        <v>47</v>
      </c>
    </row>
    <row r="4" spans="1:7" ht="15" thickBot="1" x14ac:dyDescent="0.35"/>
    <row r="5" spans="1:7" ht="15.6" thickTop="1" thickBot="1" x14ac:dyDescent="0.35">
      <c r="A5" s="3" t="s">
        <v>0</v>
      </c>
      <c r="B5" s="3" t="s">
        <v>1</v>
      </c>
      <c r="C5" s="3" t="s">
        <v>2</v>
      </c>
    </row>
    <row r="6" spans="1:7" ht="15" thickTop="1" x14ac:dyDescent="0.3">
      <c r="A6" s="19" t="s">
        <v>9</v>
      </c>
      <c r="B6" s="5">
        <v>5</v>
      </c>
      <c r="C6" s="6" t="s">
        <v>3</v>
      </c>
    </row>
    <row r="7" spans="1:7" x14ac:dyDescent="0.3">
      <c r="A7" s="20" t="s">
        <v>15</v>
      </c>
      <c r="B7" s="8">
        <v>0</v>
      </c>
      <c r="C7" s="9" t="s">
        <v>3</v>
      </c>
    </row>
    <row r="8" spans="1:7" x14ac:dyDescent="0.3">
      <c r="A8" s="20" t="s">
        <v>16</v>
      </c>
      <c r="B8" s="8">
        <v>3.5</v>
      </c>
      <c r="C8" s="9" t="s">
        <v>3</v>
      </c>
    </row>
    <row r="9" spans="1:7" x14ac:dyDescent="0.3">
      <c r="A9" s="20" t="s">
        <v>17</v>
      </c>
      <c r="B9" s="8">
        <v>0.5</v>
      </c>
      <c r="C9" s="9" t="s">
        <v>10</v>
      </c>
    </row>
    <row r="10" spans="1:7" x14ac:dyDescent="0.3">
      <c r="A10" s="20" t="s">
        <v>11</v>
      </c>
      <c r="B10" s="8">
        <v>1.75</v>
      </c>
      <c r="C10" s="9" t="s">
        <v>4</v>
      </c>
    </row>
    <row r="11" spans="1:7" x14ac:dyDescent="0.3">
      <c r="A11" s="20" t="s">
        <v>12</v>
      </c>
      <c r="B11" s="21">
        <v>0</v>
      </c>
      <c r="C11" s="22" t="s">
        <v>4</v>
      </c>
    </row>
    <row r="12" spans="1:7" ht="15" thickBot="1" x14ac:dyDescent="0.35">
      <c r="A12" s="10" t="s">
        <v>18</v>
      </c>
      <c r="B12" s="11">
        <v>5</v>
      </c>
      <c r="C12" s="12" t="s">
        <v>19</v>
      </c>
    </row>
    <row r="13" spans="1:7" ht="15" thickTop="1" x14ac:dyDescent="0.3"/>
    <row r="18" spans="1:9" ht="18" x14ac:dyDescent="0.35">
      <c r="A18" s="2" t="s">
        <v>27</v>
      </c>
    </row>
    <row r="19" spans="1:9" ht="15" thickBot="1" x14ac:dyDescent="0.35"/>
    <row r="20" spans="1:9" ht="15.6" thickTop="1" thickBot="1" x14ac:dyDescent="0.35">
      <c r="A20" s="3" t="s">
        <v>0</v>
      </c>
      <c r="B20" s="3" t="s">
        <v>1</v>
      </c>
      <c r="C20" s="3" t="s">
        <v>5</v>
      </c>
    </row>
    <row r="21" spans="1:9" ht="15" thickTop="1" x14ac:dyDescent="0.3">
      <c r="A21" s="24" t="s">
        <v>20</v>
      </c>
      <c r="B21" s="25" t="s">
        <v>21</v>
      </c>
      <c r="C21" s="26"/>
    </row>
    <row r="22" spans="1:9" ht="15" thickBot="1" x14ac:dyDescent="0.35">
      <c r="A22" s="27" t="s">
        <v>23</v>
      </c>
      <c r="B22" s="11">
        <v>5</v>
      </c>
      <c r="C22" s="28" t="s">
        <v>3</v>
      </c>
    </row>
    <row r="23" spans="1:9" ht="15.6" thickTop="1" thickBot="1" x14ac:dyDescent="0.35">
      <c r="A23" s="27" t="s">
        <v>24</v>
      </c>
      <c r="B23" s="11">
        <f>B6-(B27*1.4)</f>
        <v>4.3</v>
      </c>
      <c r="C23" s="14" t="s">
        <v>3</v>
      </c>
    </row>
    <row r="24" spans="1:9" ht="15.6" thickTop="1" thickBot="1" x14ac:dyDescent="0.35">
      <c r="A24" s="29" t="s">
        <v>45</v>
      </c>
      <c r="B24" s="11">
        <f>B41</f>
        <v>3.5</v>
      </c>
      <c r="C24" s="14" t="s">
        <v>3</v>
      </c>
      <c r="H24" s="17"/>
      <c r="I24" s="18"/>
    </row>
    <row r="25" spans="1:9" ht="15.6" thickTop="1" thickBot="1" x14ac:dyDescent="0.35">
      <c r="A25" s="32" t="s">
        <v>25</v>
      </c>
      <c r="B25" s="11">
        <v>2.5</v>
      </c>
      <c r="C25" s="15" t="s">
        <v>3</v>
      </c>
    </row>
    <row r="26" spans="1:9" ht="15.6" thickTop="1" thickBot="1" x14ac:dyDescent="0.35">
      <c r="A26" s="32" t="s">
        <v>26</v>
      </c>
      <c r="B26" s="11">
        <v>3.5</v>
      </c>
      <c r="C26" s="14" t="s">
        <v>3</v>
      </c>
    </row>
    <row r="27" spans="1:9" ht="15.6" thickTop="1" thickBot="1" x14ac:dyDescent="0.35">
      <c r="A27" s="30" t="s">
        <v>22</v>
      </c>
      <c r="B27" s="11">
        <v>0.5</v>
      </c>
      <c r="C27" s="31" t="s">
        <v>10</v>
      </c>
    </row>
    <row r="28" spans="1:9" ht="15.6" thickTop="1" thickBot="1" x14ac:dyDescent="0.35">
      <c r="A28" s="29" t="s">
        <v>28</v>
      </c>
      <c r="B28" s="11">
        <f>ABS((B23-B25)*B27)</f>
        <v>0.89999999999999991</v>
      </c>
      <c r="C28" s="13" t="s">
        <v>4</v>
      </c>
    </row>
    <row r="29" spans="1:9" ht="15.6" thickTop="1" thickBot="1" x14ac:dyDescent="0.35">
      <c r="A29" s="29" t="s">
        <v>29</v>
      </c>
      <c r="B29" s="11">
        <f>ABS((B23-B24)*B27)</f>
        <v>0.39999999999999991</v>
      </c>
      <c r="C29" s="14" t="s">
        <v>4</v>
      </c>
    </row>
    <row r="30" spans="1:9" ht="15" thickTop="1" x14ac:dyDescent="0.3"/>
    <row r="35" spans="1:35" ht="18" x14ac:dyDescent="0.35">
      <c r="A35" s="2" t="s">
        <v>30</v>
      </c>
    </row>
    <row r="36" spans="1:35" ht="15" thickBot="1" x14ac:dyDescent="0.35"/>
    <row r="37" spans="1:35" ht="15.6" thickTop="1" thickBot="1" x14ac:dyDescent="0.35">
      <c r="A37" s="3" t="s">
        <v>0</v>
      </c>
      <c r="B37" s="3" t="s">
        <v>1</v>
      </c>
      <c r="C37" s="3" t="s">
        <v>5</v>
      </c>
    </row>
    <row r="38" spans="1:35" ht="15" thickTop="1" x14ac:dyDescent="0.3">
      <c r="A38" s="24" t="s">
        <v>35</v>
      </c>
      <c r="B38" s="25" t="s">
        <v>31</v>
      </c>
      <c r="C38" s="26"/>
    </row>
    <row r="39" spans="1:35" ht="15" thickBot="1" x14ac:dyDescent="0.35">
      <c r="A39" s="27" t="s">
        <v>32</v>
      </c>
      <c r="B39" s="11">
        <v>5</v>
      </c>
      <c r="C39" s="28" t="s">
        <v>3</v>
      </c>
    </row>
    <row r="40" spans="1:35" ht="15.6" thickTop="1" thickBot="1" x14ac:dyDescent="0.35">
      <c r="A40" s="27" t="s">
        <v>8</v>
      </c>
      <c r="B40" s="11">
        <v>1.75</v>
      </c>
      <c r="C40" s="14" t="s">
        <v>3</v>
      </c>
    </row>
    <row r="41" spans="1:35" ht="19.2" thickTop="1" thickBot="1" x14ac:dyDescent="0.4">
      <c r="A41" s="29" t="s">
        <v>46</v>
      </c>
      <c r="B41" s="11">
        <v>3.5</v>
      </c>
      <c r="C41" s="14" t="s">
        <v>3</v>
      </c>
      <c r="L41" s="2" t="s">
        <v>6</v>
      </c>
      <c r="Y41" s="2" t="s">
        <v>54</v>
      </c>
    </row>
    <row r="42" spans="1:35" ht="15.6" thickTop="1" thickBot="1" x14ac:dyDescent="0.35">
      <c r="A42" s="32" t="s">
        <v>33</v>
      </c>
      <c r="B42" s="11">
        <v>1.25</v>
      </c>
      <c r="C42" s="15" t="s">
        <v>3</v>
      </c>
    </row>
    <row r="43" spans="1:35" ht="15.6" thickTop="1" thickBot="1" x14ac:dyDescent="0.35">
      <c r="A43" s="32" t="s">
        <v>34</v>
      </c>
      <c r="B43" s="11">
        <v>1.75</v>
      </c>
      <c r="C43" s="14" t="s">
        <v>3</v>
      </c>
      <c r="L43" s="3" t="s">
        <v>0</v>
      </c>
      <c r="M43" s="3" t="s">
        <v>1</v>
      </c>
      <c r="N43" s="3" t="s">
        <v>5</v>
      </c>
      <c r="O43" s="3" t="s">
        <v>1</v>
      </c>
      <c r="P43" s="3" t="s">
        <v>5</v>
      </c>
      <c r="Q43" s="3" t="s">
        <v>1</v>
      </c>
      <c r="R43" s="3" t="s">
        <v>5</v>
      </c>
      <c r="S43" s="3" t="s">
        <v>1</v>
      </c>
      <c r="T43" s="3" t="s">
        <v>5</v>
      </c>
      <c r="U43" s="3" t="s">
        <v>1</v>
      </c>
      <c r="V43" s="3" t="s">
        <v>5</v>
      </c>
      <c r="Y43" s="3" t="s">
        <v>0</v>
      </c>
      <c r="Z43" s="3" t="s">
        <v>1</v>
      </c>
      <c r="AA43" s="3" t="s">
        <v>5</v>
      </c>
      <c r="AB43" s="3" t="s">
        <v>1</v>
      </c>
      <c r="AC43" s="3" t="s">
        <v>5</v>
      </c>
      <c r="AD43" s="3" t="s">
        <v>1</v>
      </c>
      <c r="AE43" s="3" t="s">
        <v>5</v>
      </c>
      <c r="AF43" s="3" t="s">
        <v>1</v>
      </c>
      <c r="AG43" s="3" t="s">
        <v>5</v>
      </c>
      <c r="AH43" s="3" t="s">
        <v>1</v>
      </c>
      <c r="AI43" s="3" t="s">
        <v>5</v>
      </c>
    </row>
    <row r="44" spans="1:35" ht="15.6" thickTop="1" thickBot="1" x14ac:dyDescent="0.35">
      <c r="G44" s="34" t="s">
        <v>55</v>
      </c>
      <c r="H44" s="35"/>
      <c r="I44" s="35"/>
      <c r="J44" s="36"/>
      <c r="L44" s="4" t="s">
        <v>9</v>
      </c>
      <c r="M44" s="44">
        <v>5</v>
      </c>
      <c r="N44" s="45" t="s">
        <v>3</v>
      </c>
      <c r="O44" s="44">
        <v>5</v>
      </c>
      <c r="P44" s="45" t="s">
        <v>3</v>
      </c>
      <c r="Q44" s="46">
        <v>5</v>
      </c>
      <c r="R44" s="45" t="s">
        <v>3</v>
      </c>
      <c r="S44" s="44">
        <v>5</v>
      </c>
      <c r="T44" s="45" t="s">
        <v>3</v>
      </c>
      <c r="U44" s="44">
        <v>5</v>
      </c>
      <c r="V44" s="47" t="s">
        <v>3</v>
      </c>
      <c r="Y44" s="4" t="s">
        <v>9</v>
      </c>
      <c r="Z44" s="44">
        <v>5</v>
      </c>
      <c r="AA44" s="45" t="s">
        <v>3</v>
      </c>
      <c r="AB44" s="44">
        <v>5</v>
      </c>
      <c r="AC44" s="45" t="s">
        <v>3</v>
      </c>
      <c r="AD44" s="46">
        <v>5</v>
      </c>
      <c r="AE44" s="45" t="s">
        <v>3</v>
      </c>
      <c r="AF44" s="44">
        <v>5</v>
      </c>
      <c r="AG44" s="45" t="s">
        <v>3</v>
      </c>
      <c r="AH44" s="44">
        <v>5</v>
      </c>
      <c r="AI44" s="47" t="s">
        <v>3</v>
      </c>
    </row>
    <row r="45" spans="1:35" ht="15" thickTop="1" x14ac:dyDescent="0.3">
      <c r="G45" s="37" t="s">
        <v>56</v>
      </c>
      <c r="H45" s="42"/>
      <c r="I45" s="42"/>
      <c r="J45" s="38"/>
      <c r="L45" s="23" t="s">
        <v>7</v>
      </c>
      <c r="M45" s="48">
        <f>M46*M47</f>
        <v>3.5000000000000004</v>
      </c>
      <c r="N45" s="45" t="s">
        <v>3</v>
      </c>
      <c r="O45" s="48">
        <f t="shared" ref="O45:U45" si="0">O46*O47</f>
        <v>3.5000000000000004</v>
      </c>
      <c r="P45" s="45" t="s">
        <v>3</v>
      </c>
      <c r="Q45" s="48">
        <f t="shared" si="0"/>
        <v>3.5</v>
      </c>
      <c r="R45" s="45" t="s">
        <v>3</v>
      </c>
      <c r="S45" s="48">
        <f t="shared" si="0"/>
        <v>3.5</v>
      </c>
      <c r="T45" s="45" t="s">
        <v>3</v>
      </c>
      <c r="U45" s="48">
        <f t="shared" si="0"/>
        <v>2.5</v>
      </c>
      <c r="V45" s="45" t="s">
        <v>3</v>
      </c>
      <c r="Y45" s="23" t="s">
        <v>7</v>
      </c>
      <c r="Z45" s="48">
        <v>3.5110000000000001</v>
      </c>
      <c r="AA45" s="45" t="s">
        <v>3</v>
      </c>
      <c r="AB45" s="48">
        <v>3.484</v>
      </c>
      <c r="AC45" s="45" t="s">
        <v>3</v>
      </c>
      <c r="AD45" s="48">
        <v>3.4809999999999999</v>
      </c>
      <c r="AE45" s="45" t="s">
        <v>3</v>
      </c>
      <c r="AF45" s="48">
        <v>1.4219999999999999</v>
      </c>
      <c r="AG45" s="45" t="s">
        <v>3</v>
      </c>
      <c r="AH45" s="48">
        <v>0.71299999999999997</v>
      </c>
      <c r="AI45" s="45" t="s">
        <v>3</v>
      </c>
    </row>
    <row r="46" spans="1:35" x14ac:dyDescent="0.3">
      <c r="G46" s="37" t="s">
        <v>57</v>
      </c>
      <c r="H46" s="42"/>
      <c r="I46" s="42"/>
      <c r="J46" s="38"/>
      <c r="L46" s="7" t="s">
        <v>48</v>
      </c>
      <c r="M46" s="33">
        <f>MIN(3.5/M47,0.5)</f>
        <v>3.5000000000000003E-2</v>
      </c>
      <c r="N46" s="43" t="s">
        <v>10</v>
      </c>
      <c r="O46" s="33">
        <f t="shared" ref="O46:U46" si="1">MIN(3.5/O47,0.5)</f>
        <v>7.0000000000000007E-2</v>
      </c>
      <c r="P46" s="43" t="s">
        <v>10</v>
      </c>
      <c r="Q46" s="33">
        <f t="shared" si="1"/>
        <v>0.11666666666666667</v>
      </c>
      <c r="R46" s="43" t="s">
        <v>10</v>
      </c>
      <c r="S46" s="33">
        <f t="shared" si="1"/>
        <v>0.35</v>
      </c>
      <c r="T46" s="43" t="s">
        <v>10</v>
      </c>
      <c r="U46" s="33">
        <f t="shared" si="1"/>
        <v>0.5</v>
      </c>
      <c r="V46" s="43" t="s">
        <v>10</v>
      </c>
      <c r="Y46" s="7" t="s">
        <v>48</v>
      </c>
      <c r="Z46" s="33">
        <v>3.5110000000000002E-2</v>
      </c>
      <c r="AA46" s="43" t="s">
        <v>10</v>
      </c>
      <c r="AB46" s="33">
        <v>6.9599999999999995E-2</v>
      </c>
      <c r="AC46" s="43" t="s">
        <v>10</v>
      </c>
      <c r="AD46" s="33">
        <v>0.11600000000000001</v>
      </c>
      <c r="AE46" s="43" t="s">
        <v>10</v>
      </c>
      <c r="AF46" s="33">
        <v>0.14219999999999999</v>
      </c>
      <c r="AG46" s="43" t="s">
        <v>10</v>
      </c>
      <c r="AH46" s="33">
        <v>0.14199999999999999</v>
      </c>
      <c r="AI46" s="43" t="s">
        <v>10</v>
      </c>
    </row>
    <row r="47" spans="1:35" x14ac:dyDescent="0.3">
      <c r="G47" s="37" t="s">
        <v>58</v>
      </c>
      <c r="H47" s="42"/>
      <c r="I47" s="42"/>
      <c r="J47" s="38"/>
      <c r="L47" s="7" t="s">
        <v>52</v>
      </c>
      <c r="M47" s="33">
        <v>100</v>
      </c>
      <c r="N47" s="49" t="s">
        <v>42</v>
      </c>
      <c r="O47" s="33">
        <v>50</v>
      </c>
      <c r="P47" s="49" t="s">
        <v>42</v>
      </c>
      <c r="Q47" s="50">
        <v>30</v>
      </c>
      <c r="R47" s="49" t="s">
        <v>42</v>
      </c>
      <c r="S47" s="33">
        <v>10</v>
      </c>
      <c r="T47" s="49" t="s">
        <v>42</v>
      </c>
      <c r="U47" s="33">
        <v>5</v>
      </c>
      <c r="V47" s="49" t="s">
        <v>42</v>
      </c>
      <c r="Y47" s="7" t="s">
        <v>52</v>
      </c>
      <c r="Z47" s="33">
        <v>100</v>
      </c>
      <c r="AA47" s="49" t="s">
        <v>42</v>
      </c>
      <c r="AB47" s="33">
        <v>50</v>
      </c>
      <c r="AC47" s="49" t="s">
        <v>42</v>
      </c>
      <c r="AD47" s="50">
        <v>30</v>
      </c>
      <c r="AE47" s="49" t="s">
        <v>42</v>
      </c>
      <c r="AF47" s="33">
        <v>10</v>
      </c>
      <c r="AG47" s="49" t="s">
        <v>42</v>
      </c>
      <c r="AH47" s="33">
        <v>5</v>
      </c>
      <c r="AI47" s="49" t="s">
        <v>42</v>
      </c>
    </row>
    <row r="48" spans="1:35" ht="15" thickBot="1" x14ac:dyDescent="0.35">
      <c r="G48" s="37" t="s">
        <v>59</v>
      </c>
      <c r="H48" s="42"/>
      <c r="I48" s="42"/>
      <c r="J48" s="38"/>
      <c r="L48" s="7" t="s">
        <v>8</v>
      </c>
      <c r="M48" s="33">
        <v>1.75</v>
      </c>
      <c r="N48" s="51" t="s">
        <v>3</v>
      </c>
      <c r="O48" s="33">
        <v>1.75</v>
      </c>
      <c r="P48" s="51" t="s">
        <v>3</v>
      </c>
      <c r="Q48" s="50">
        <v>1.75</v>
      </c>
      <c r="R48" s="51" t="s">
        <v>3</v>
      </c>
      <c r="S48" s="33">
        <v>1.75</v>
      </c>
      <c r="T48" s="51" t="s">
        <v>3</v>
      </c>
      <c r="U48" s="33">
        <v>1.75</v>
      </c>
      <c r="V48" s="51" t="s">
        <v>3</v>
      </c>
      <c r="Y48" s="7" t="s">
        <v>8</v>
      </c>
      <c r="Z48" s="33">
        <v>1.7549999999999999</v>
      </c>
      <c r="AA48" s="51" t="s">
        <v>3</v>
      </c>
      <c r="AB48" s="33">
        <v>1.7511000000000001</v>
      </c>
      <c r="AC48" s="51" t="s">
        <v>3</v>
      </c>
      <c r="AD48" s="50">
        <v>1.7511000000000001</v>
      </c>
      <c r="AE48" s="51" t="s">
        <v>3</v>
      </c>
      <c r="AF48" s="33">
        <v>1.7511000000000001</v>
      </c>
      <c r="AG48" s="51" t="s">
        <v>3</v>
      </c>
      <c r="AH48" s="33">
        <v>1.7511000000000001</v>
      </c>
      <c r="AI48" s="51" t="s">
        <v>3</v>
      </c>
    </row>
    <row r="49" spans="1:35" ht="19.2" thickTop="1" thickBot="1" x14ac:dyDescent="0.4">
      <c r="A49" s="2" t="s">
        <v>36</v>
      </c>
      <c r="G49" s="37" t="s">
        <v>60</v>
      </c>
      <c r="H49" s="42"/>
      <c r="I49" s="42"/>
      <c r="J49" s="38"/>
      <c r="L49" s="7" t="s">
        <v>49</v>
      </c>
      <c r="M49" s="33">
        <f>M45/2</f>
        <v>1.7500000000000002</v>
      </c>
      <c r="N49" s="45" t="s">
        <v>3</v>
      </c>
      <c r="O49" s="33">
        <f t="shared" ref="O49:U49" si="2">O45/2</f>
        <v>1.7500000000000002</v>
      </c>
      <c r="P49" s="45" t="s">
        <v>3</v>
      </c>
      <c r="Q49" s="33">
        <f t="shared" si="2"/>
        <v>1.75</v>
      </c>
      <c r="R49" s="45" t="s">
        <v>3</v>
      </c>
      <c r="S49" s="33">
        <f t="shared" si="2"/>
        <v>1.75</v>
      </c>
      <c r="T49" s="45" t="s">
        <v>3</v>
      </c>
      <c r="U49" s="33">
        <f t="shared" si="2"/>
        <v>1.25</v>
      </c>
      <c r="V49" s="45" t="s">
        <v>3</v>
      </c>
      <c r="Y49" s="7" t="s">
        <v>49</v>
      </c>
      <c r="Z49" s="33">
        <v>1.7549999999999999</v>
      </c>
      <c r="AA49" s="45" t="s">
        <v>3</v>
      </c>
      <c r="AB49" s="33">
        <v>1.7549999999999999</v>
      </c>
      <c r="AC49" s="45" t="s">
        <v>3</v>
      </c>
      <c r="AD49" s="33">
        <v>1.7511000000000001</v>
      </c>
      <c r="AE49" s="45" t="s">
        <v>3</v>
      </c>
      <c r="AF49" s="33">
        <v>0.71</v>
      </c>
      <c r="AG49" s="45" t="s">
        <v>3</v>
      </c>
      <c r="AH49" s="33">
        <v>0.35099999999999998</v>
      </c>
      <c r="AI49" s="45" t="s">
        <v>3</v>
      </c>
    </row>
    <row r="50" spans="1:35" ht="15.6" thickTop="1" thickBot="1" x14ac:dyDescent="0.35">
      <c r="G50" s="37" t="s">
        <v>61</v>
      </c>
      <c r="H50" s="42"/>
      <c r="I50" s="42"/>
      <c r="J50" s="38"/>
      <c r="L50" s="7" t="s">
        <v>53</v>
      </c>
      <c r="M50" s="33">
        <f>M45-M44+M52</f>
        <v>-1.4509999999999996</v>
      </c>
      <c r="N50" s="45" t="s">
        <v>3</v>
      </c>
      <c r="O50" s="33">
        <f>O45-O44+O52</f>
        <v>-1.4019999999999995</v>
      </c>
      <c r="P50" s="45" t="s">
        <v>3</v>
      </c>
      <c r="Q50" s="33">
        <f>Q45-Q44+Q52</f>
        <v>-1.3366666666666667</v>
      </c>
      <c r="R50" s="45" t="s">
        <v>3</v>
      </c>
      <c r="S50" s="33">
        <f>S45-S44+S52</f>
        <v>-1.01</v>
      </c>
      <c r="T50" s="45" t="s">
        <v>3</v>
      </c>
      <c r="U50" s="33">
        <f>U45-U44+U52</f>
        <v>-1.8</v>
      </c>
      <c r="V50" s="45" t="s">
        <v>3</v>
      </c>
      <c r="Y50" s="7" t="s">
        <v>53</v>
      </c>
      <c r="Z50" s="33"/>
      <c r="AA50" s="45" t="s">
        <v>3</v>
      </c>
      <c r="AB50" s="33"/>
      <c r="AC50" s="45" t="s">
        <v>3</v>
      </c>
      <c r="AD50" s="33"/>
      <c r="AE50" s="45" t="s">
        <v>3</v>
      </c>
      <c r="AF50" s="33"/>
      <c r="AG50" s="45" t="s">
        <v>3</v>
      </c>
      <c r="AH50" s="33"/>
      <c r="AI50" s="45" t="s">
        <v>3</v>
      </c>
    </row>
    <row r="51" spans="1:35" ht="15.6" thickTop="1" thickBot="1" x14ac:dyDescent="0.35">
      <c r="A51" s="3" t="s">
        <v>0</v>
      </c>
      <c r="B51" s="3" t="s">
        <v>1</v>
      </c>
      <c r="C51" s="3" t="s">
        <v>5</v>
      </c>
      <c r="G51" s="37" t="s">
        <v>62</v>
      </c>
      <c r="H51" s="42"/>
      <c r="I51" s="42"/>
      <c r="J51" s="38"/>
      <c r="L51" s="16" t="s">
        <v>50</v>
      </c>
      <c r="M51" s="33">
        <f>ABS(M50)*M46</f>
        <v>5.078499999999999E-2</v>
      </c>
      <c r="N51" s="45" t="s">
        <v>4</v>
      </c>
      <c r="O51" s="33">
        <f>ABS(O50)*O46</f>
        <v>9.8139999999999977E-2</v>
      </c>
      <c r="P51" s="45" t="s">
        <v>4</v>
      </c>
      <c r="Q51" s="33">
        <f>ABS(Q50)*Q46</f>
        <v>0.15594444444444444</v>
      </c>
      <c r="R51" s="45" t="s">
        <v>4</v>
      </c>
      <c r="S51" s="33">
        <f>ABS(S50)*S46</f>
        <v>0.35349999999999998</v>
      </c>
      <c r="T51" s="45" t="s">
        <v>4</v>
      </c>
      <c r="U51" s="33">
        <f>ABS(U50)*U46</f>
        <v>0.9</v>
      </c>
      <c r="V51" s="45" t="s">
        <v>4</v>
      </c>
      <c r="Y51" s="16" t="s">
        <v>50</v>
      </c>
      <c r="Z51" s="33"/>
      <c r="AA51" s="45" t="s">
        <v>4</v>
      </c>
      <c r="AB51" s="33"/>
      <c r="AC51" s="45" t="s">
        <v>4</v>
      </c>
      <c r="AD51" s="33"/>
      <c r="AE51" s="45" t="s">
        <v>4</v>
      </c>
      <c r="AF51" s="33"/>
      <c r="AG51" s="45" t="s">
        <v>4</v>
      </c>
      <c r="AH51" s="33"/>
      <c r="AI51" s="45" t="s">
        <v>4</v>
      </c>
    </row>
    <row r="52" spans="1:35" ht="15" thickTop="1" x14ac:dyDescent="0.3">
      <c r="A52" s="24" t="s">
        <v>37</v>
      </c>
      <c r="B52" s="25" t="s">
        <v>38</v>
      </c>
      <c r="C52" s="26"/>
      <c r="G52" s="39" t="s">
        <v>63</v>
      </c>
      <c r="H52" s="40"/>
      <c r="I52" s="40"/>
      <c r="J52" s="41"/>
      <c r="L52" s="16" t="s">
        <v>51</v>
      </c>
      <c r="M52" s="33">
        <f>M46*1.4</f>
        <v>4.9000000000000002E-2</v>
      </c>
      <c r="N52" s="45" t="s">
        <v>3</v>
      </c>
      <c r="O52" s="33">
        <f>O46*1.4</f>
        <v>9.8000000000000004E-2</v>
      </c>
      <c r="P52" s="45" t="s">
        <v>3</v>
      </c>
      <c r="Q52" s="33">
        <f>Q46*1.4</f>
        <v>0.16333333333333333</v>
      </c>
      <c r="R52" s="45" t="s">
        <v>3</v>
      </c>
      <c r="S52" s="33">
        <f>S46*1.4</f>
        <v>0.48999999999999994</v>
      </c>
      <c r="T52" s="45" t="s">
        <v>3</v>
      </c>
      <c r="U52" s="33">
        <f>U46*1.4</f>
        <v>0.7</v>
      </c>
      <c r="V52" s="45" t="s">
        <v>3</v>
      </c>
      <c r="Y52" s="16" t="s">
        <v>51</v>
      </c>
      <c r="Z52" s="33"/>
      <c r="AA52" s="45" t="s">
        <v>3</v>
      </c>
      <c r="AB52" s="33"/>
      <c r="AC52" s="45" t="s">
        <v>3</v>
      </c>
      <c r="AD52" s="33"/>
      <c r="AE52" s="45" t="s">
        <v>3</v>
      </c>
      <c r="AF52" s="33"/>
      <c r="AG52" s="45" t="s">
        <v>3</v>
      </c>
      <c r="AH52" s="33"/>
      <c r="AI52" s="45" t="s">
        <v>3</v>
      </c>
    </row>
    <row r="53" spans="1:35" ht="15" thickBot="1" x14ac:dyDescent="0.35">
      <c r="A53" s="27" t="s">
        <v>39</v>
      </c>
      <c r="B53" s="11">
        <f>B6</f>
        <v>5</v>
      </c>
      <c r="C53" s="28" t="s">
        <v>3</v>
      </c>
    </row>
    <row r="54" spans="1:35" ht="15.6" thickTop="1" thickBot="1" x14ac:dyDescent="0.35">
      <c r="A54" s="27" t="s">
        <v>44</v>
      </c>
      <c r="B54" s="11">
        <f>(B56*B57)</f>
        <v>0.7</v>
      </c>
      <c r="C54" s="14" t="s">
        <v>3</v>
      </c>
    </row>
    <row r="55" spans="1:35" ht="15.6" thickTop="1" thickBot="1" x14ac:dyDescent="0.35">
      <c r="A55" s="27" t="s">
        <v>40</v>
      </c>
      <c r="B55" s="11">
        <f>ABS(B6-(B56*B27))</f>
        <v>4.3</v>
      </c>
      <c r="C55" s="14" t="s">
        <v>3</v>
      </c>
    </row>
    <row r="56" spans="1:35" ht="15.6" thickTop="1" thickBot="1" x14ac:dyDescent="0.35">
      <c r="A56" s="29" t="s">
        <v>41</v>
      </c>
      <c r="B56" s="11">
        <v>1.4</v>
      </c>
      <c r="C56" s="14" t="s">
        <v>42</v>
      </c>
    </row>
    <row r="57" spans="1:35" ht="15.6" thickTop="1" thickBot="1" x14ac:dyDescent="0.35">
      <c r="A57" s="32" t="s">
        <v>43</v>
      </c>
      <c r="B57" s="11">
        <v>0.5</v>
      </c>
      <c r="C57" s="15" t="s">
        <v>10</v>
      </c>
    </row>
    <row r="58" spans="1:35" ht="15" thickTop="1" x14ac:dyDescent="0.3"/>
  </sheetData>
  <pageMargins left="0.7" right="0.7" top="0.75" bottom="0.75" header="0.3" footer="0.3"/>
  <pageSetup paperSize="9" scale="44" orientation="landscape" r:id="rId1"/>
  <drawing r:id="rId2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Kyle Premadasa</cp:lastModifiedBy>
  <cp:lastPrinted>2026-08-25T02:59:28Z</cp:lastPrinted>
  <dcterms:created xsi:type="dcterms:W3CDTF">2025-12-20T08:56:10Z</dcterms:created>
  <dcterms:modified xsi:type="dcterms:W3CDTF">2026-08-26T03:36:17Z</dcterms:modified>
</cp:coreProperties>
</file>