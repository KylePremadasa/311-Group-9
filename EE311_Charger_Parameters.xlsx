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ylep\Downloads\"/>
    </mc:Choice>
  </mc:AlternateContent>
  <xr:revisionPtr revIDLastSave="0" documentId="8_{2F429902-05CA-41B1-BA41-8AC75F8D5DCC}" xr6:coauthVersionLast="47" xr6:coauthVersionMax="47" xr10:uidLastSave="{00000000-0000-0000-0000-000000000000}"/>
  <bookViews>
    <workbookView xWindow="-108" yWindow="-108" windowWidth="23256" windowHeight="12456" xr2:uid="{0EA872C3-4804-43CB-9F0B-5F94DB7B4351}"/>
  </bookViews>
  <sheets>
    <sheet name="Sheet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6" i="3" l="1"/>
  <c r="M51" i="3" s="1"/>
  <c r="M53" i="3" s="1"/>
  <c r="O56" i="3"/>
  <c r="O57" i="3" s="1"/>
  <c r="Q56" i="3"/>
  <c r="Q57" i="3" s="1"/>
  <c r="S56" i="3"/>
  <c r="S57" i="3" s="1"/>
  <c r="U56" i="3"/>
  <c r="U57" i="3" s="1"/>
  <c r="O51" i="3"/>
  <c r="O53" i="3" s="1"/>
  <c r="O46" i="3"/>
  <c r="O45" i="3" s="1"/>
  <c r="Q46" i="3"/>
  <c r="Q45" i="3" s="1"/>
  <c r="S46" i="3"/>
  <c r="S45" i="3" s="1"/>
  <c r="U46" i="3"/>
  <c r="U45" i="3" s="1"/>
  <c r="B55" i="3"/>
  <c r="B54" i="3"/>
  <c r="B53" i="3"/>
  <c r="B24" i="3"/>
  <c r="B23" i="3"/>
  <c r="B29" i="3" s="1"/>
  <c r="U51" i="3" l="1"/>
  <c r="U53" i="3" s="1"/>
  <c r="S51" i="3"/>
  <c r="S53" i="3" s="1"/>
  <c r="Q51" i="3"/>
  <c r="Q53" i="3" s="1"/>
  <c r="U52" i="3"/>
  <c r="U54" i="3" s="1"/>
  <c r="U55" i="3" s="1"/>
  <c r="U49" i="3"/>
  <c r="S52" i="3"/>
  <c r="S54" i="3" s="1"/>
  <c r="S55" i="3" s="1"/>
  <c r="S49" i="3"/>
  <c r="Q52" i="3"/>
  <c r="Q54" i="3" s="1"/>
  <c r="Q55" i="3" s="1"/>
  <c r="Q49" i="3"/>
  <c r="O52" i="3"/>
  <c r="O54" i="3" s="1"/>
  <c r="O55" i="3" s="1"/>
  <c r="O49" i="3"/>
  <c r="M45" i="3"/>
  <c r="M56" i="3"/>
  <c r="M57" i="3" s="1"/>
  <c r="B28" i="3"/>
  <c r="M49" i="3" l="1"/>
  <c r="M52" i="3"/>
  <c r="M54" i="3" s="1"/>
  <c r="M55" i="3" s="1"/>
</calcChain>
</file>

<file path=xl/sharedStrings.xml><?xml version="1.0" encoding="utf-8"?>
<sst xmlns="http://schemas.openxmlformats.org/spreadsheetml/2006/main" count="210" uniqueCount="74">
  <si>
    <t>Parameter</t>
  </si>
  <si>
    <t>Value</t>
  </si>
  <si>
    <t>Unit</t>
  </si>
  <si>
    <t>V</t>
  </si>
  <si>
    <t>W</t>
  </si>
  <si>
    <t>Unit (eq)</t>
  </si>
  <si>
    <t>Evaluating Steady-State Operating Conditions (Theoretical)</t>
  </si>
  <si>
    <t>Vout</t>
  </si>
  <si>
    <t>Vref</t>
  </si>
  <si>
    <t>Vin</t>
  </si>
  <si>
    <t>A</t>
  </si>
  <si>
    <t>Max Pout(avg)</t>
  </si>
  <si>
    <t>Min Pout(avg)</t>
  </si>
  <si>
    <t>Charger Design</t>
  </si>
  <si>
    <t>Charger Design Specifications</t>
  </si>
  <si>
    <t>Min Vout(avg)</t>
  </si>
  <si>
    <t>Max Vout(avg)</t>
  </si>
  <si>
    <t>Max Current(avg)</t>
  </si>
  <si>
    <t>Voltage Regulation</t>
  </si>
  <si>
    <t>%</t>
  </si>
  <si>
    <t>Selected Mosfet</t>
  </si>
  <si>
    <t>IRF9Z24N</t>
  </si>
  <si>
    <t>Max ID</t>
  </si>
  <si>
    <t>Max Source Voltage</t>
  </si>
  <si>
    <t>Source Voltage @ Max ID</t>
  </si>
  <si>
    <t>Expected Drain Voltage(min)</t>
  </si>
  <si>
    <t>Expected Drain Voltage(max)</t>
  </si>
  <si>
    <t>Evaluating Key Mosfet Parameters (Theoretical)</t>
  </si>
  <si>
    <t>Power Dissipation @ 2.5Vout</t>
  </si>
  <si>
    <t>Power Dissipation @ 3.5Vout</t>
  </si>
  <si>
    <t>Evaluating Key Opamp Parameters (Theoretical)</t>
  </si>
  <si>
    <t>LM358</t>
  </si>
  <si>
    <t>Supply Voltage</t>
  </si>
  <si>
    <t>Feedback Voltage @ 2.5 Vout</t>
  </si>
  <si>
    <t>Feedback Voltage @ 3.5 Vout</t>
  </si>
  <si>
    <t>Selected Opamp</t>
  </si>
  <si>
    <t>Evaluating Key BJT Parameters (Theoretical)</t>
  </si>
  <si>
    <t>Selected BJT</t>
  </si>
  <si>
    <t>BD140</t>
  </si>
  <si>
    <t>Emitter Voltage</t>
  </si>
  <si>
    <t>Base Voltage @ Current Limit</t>
  </si>
  <si>
    <t xml:space="preserve">Sense Resitance </t>
  </si>
  <si>
    <t>Ω</t>
  </si>
  <si>
    <t>Current Limit</t>
  </si>
  <si>
    <t>VEB Turn on voltage</t>
  </si>
  <si>
    <t>Stead State Gate Voltage</t>
  </si>
  <si>
    <t>Steady State Output Voltage</t>
  </si>
  <si>
    <t>Component Values</t>
  </si>
  <si>
    <t xml:space="preserve">Iout </t>
  </si>
  <si>
    <t>Vfb</t>
  </si>
  <si>
    <t>Vopamp</t>
  </si>
  <si>
    <t>Vsource</t>
  </si>
  <si>
    <t>Vdrain</t>
  </si>
  <si>
    <t>Mpower</t>
  </si>
  <si>
    <t>Vrsense</t>
  </si>
  <si>
    <t>Vbjt,base</t>
  </si>
  <si>
    <t>Rload</t>
  </si>
  <si>
    <t>VDS</t>
  </si>
  <si>
    <t>VGS</t>
  </si>
  <si>
    <t>Evaluating Steady-State Operating Conditions (Simulation)</t>
  </si>
  <si>
    <t>Vin = 5 V</t>
  </si>
  <si>
    <t>Vout = Iout × Rload</t>
  </si>
  <si>
    <t>Iout = MIN(3.5/Rload, Ilimit)</t>
  </si>
  <si>
    <t>Selected test value</t>
  </si>
  <si>
    <t>Vref = Vout(target) × R7/(R6+R7)</t>
  </si>
  <si>
    <t>Vfb = Vout × R7/(R6+R7)</t>
  </si>
  <si>
    <t>Vopamp = Vgate (assumed 3.5 V)</t>
  </si>
  <si>
    <t>Vsource = Vin - (Iout × Rsense)</t>
  </si>
  <si>
    <t>Vdrain = Vout</t>
  </si>
  <si>
    <t>VGS = Vgate - Vsource</t>
  </si>
  <si>
    <t>VDS = Vdrain - Vsource</t>
  </si>
  <si>
    <t>Pmos = ABS(VDS) × ID</t>
  </si>
  <si>
    <t>Vrsense = Iout × Rsense</t>
  </si>
  <si>
    <t>Vbase = Vin - Vrsense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</si>
</sst>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3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</cellStyleXfs>
  <cellXfs count="49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49" fontId="0" fillId="0" borderId="12" xfId="0" applyNumberFormat="1" applyBorder="1"/>
    <xf numFmtId="49" fontId="0" fillId="0" borderId="13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5" xfId="0" applyNumberFormat="1" applyBorder="1"/>
    <xf numFmtId="49" fontId="0" fillId="0" borderId="6" xfId="0" applyNumberFormat="1" applyBorder="1"/>
    <xf numFmtId="0" fontId="1" fillId="3" borderId="16" xfId="2" applyBorder="1"/>
    <xf numFmtId="164" fontId="0" fillId="0" borderId="0" xfId="0" applyNumberFormat="1"/>
    <xf numFmtId="49" fontId="0" fillId="0" borderId="0" xfId="0" applyNumberFormat="1"/>
    <xf numFmtId="0" fontId="0" fillId="3" borderId="2" xfId="2" applyFont="1" applyBorder="1"/>
    <xf numFmtId="0" fontId="0" fillId="3" borderId="5" xfId="2" applyFont="1" applyBorder="1"/>
    <xf numFmtId="2" fontId="0" fillId="4" borderId="17" xfId="0" applyNumberFormat="1" applyFill="1" applyBorder="1"/>
    <xf numFmtId="0" fontId="0" fillId="0" borderId="18" xfId="0" applyBorder="1"/>
    <xf numFmtId="2" fontId="0" fillId="4" borderId="14" xfId="0" applyNumberFormat="1" applyFill="1" applyBorder="1"/>
    <xf numFmtId="0" fontId="0" fillId="3" borderId="19" xfId="2" applyFont="1" applyBorder="1"/>
    <xf numFmtId="0" fontId="0" fillId="3" borderId="20" xfId="2" applyFont="1" applyBorder="1"/>
    <xf numFmtId="2" fontId="0" fillId="0" borderId="21" xfId="0" applyNumberFormat="1" applyBorder="1"/>
    <xf numFmtId="49" fontId="0" fillId="0" borderId="22" xfId="0" applyNumberFormat="1" applyBorder="1"/>
    <xf numFmtId="0" fontId="0" fillId="3" borderId="23" xfId="2" applyFont="1" applyBorder="1"/>
    <xf numFmtId="49" fontId="0" fillId="0" borderId="24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6" xfId="0" applyNumberFormat="1" applyFill="1" applyBorder="1"/>
    <xf numFmtId="0" fontId="0" fillId="3" borderId="25" xfId="2" applyFont="1" applyBorder="1"/>
    <xf numFmtId="49" fontId="0" fillId="0" borderId="26" xfId="0" applyNumberFormat="1" applyBorder="1"/>
    <xf numFmtId="0" fontId="0" fillId="3" borderId="8" xfId="2" applyFont="1" applyBorder="1"/>
    <xf numFmtId="165" fontId="0" fillId="4" borderId="6" xfId="0" applyNumberFormat="1" applyFill="1" applyBorder="1"/>
    <xf numFmtId="0" fontId="5" fillId="0" borderId="27" xfId="0" applyFont="1" applyFill="1" applyBorder="1"/>
    <xf numFmtId="0" fontId="5" fillId="0" borderId="28" xfId="0" applyFont="1" applyFill="1" applyBorder="1"/>
    <xf numFmtId="0" fontId="5" fillId="0" borderId="29" xfId="0" applyFont="1" applyFill="1" applyBorder="1"/>
    <xf numFmtId="0" fontId="5" fillId="0" borderId="30" xfId="0" applyFont="1" applyFill="1" applyBorder="1"/>
    <xf numFmtId="0" fontId="5" fillId="0" borderId="0" xfId="0" applyFont="1" applyFill="1" applyBorder="1"/>
    <xf numFmtId="0" fontId="5" fillId="0" borderId="31" xfId="0" applyFont="1" applyFill="1" applyBorder="1"/>
    <xf numFmtId="0" fontId="5" fillId="0" borderId="32" xfId="0" applyFont="1" applyFill="1" applyBorder="1"/>
    <xf numFmtId="0" fontId="5" fillId="0" borderId="33" xfId="0" applyFont="1" applyFill="1" applyBorder="1"/>
    <xf numFmtId="0" fontId="5" fillId="0" borderId="34" xfId="0" applyFont="1" applyFill="1" applyBorder="1"/>
  </cellXfs>
  <cellStyles count="3">
    <cellStyle name="20% - Accent1" xfId="2" builtinId="30"/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522941</xdr:colOff>
      <xdr:row>4</xdr:row>
      <xdr:rowOff>0</xdr:rowOff>
    </xdr:from>
    <xdr:to>
      <xdr:col>29</xdr:col>
      <xdr:colOff>231913</xdr:colOff>
      <xdr:row>36</xdr:row>
      <xdr:rowOff>44998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3EA8CA-1D5B-7FF4-5FE3-7ED31E4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29289" y="877957"/>
          <a:ext cx="14418885" cy="62569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0521C-5B07-44ED-8604-0670432A7445}">
  <sheetPr>
    <pageSetUpPr fitToPage="1"/>
  </sheetPr>
  <dimension ref="A1:AI58"/>
  <sheetViews>
    <sheetView tabSelected="1" zoomScale="39" zoomScaleNormal="115" workbookViewId="0">
      <selection activeCell="F34" sqref="F34"/>
    </sheetView>
  </sheetViews>
  <sheetFormatPr defaultRowHeight="14.4"/>
  <cols>
    <col min="1" max="1" width="28.44140625" customWidth="1"/>
    <col min="2" max="2" width="8.88671875" customWidth="1"/>
  </cols>
  <sheetData>
    <row r="1" spans="1:7" ht="21">
      <c r="A1" s="1" t="s">
        <v>13</v>
      </c>
    </row>
    <row r="3" spans="1:7" ht="18">
      <c r="A3" s="2" t="s">
        <v>14</v>
      </c>
      <c r="G3" s="2" t="s">
        <v>47</v>
      </c>
    </row>
    <row r="4" spans="1:7" ht="15" thickBot="1"/>
    <row r="5" spans="1:7" ht="15.6" thickTop="1" thickBot="1">
      <c r="A5" s="3" t="s">
        <v>0</v>
      </c>
      <c r="B5" s="3" t="s">
        <v>1</v>
      </c>
      <c r="C5" s="3" t="s">
        <v>2</v>
      </c>
    </row>
    <row r="6" spans="1:7" ht="15" thickTop="1">
      <c r="A6" s="22" t="s">
        <v>9</v>
      </c>
      <c r="B6" s="5">
        <v>5</v>
      </c>
      <c r="C6" s="6" t="s">
        <v>3</v>
      </c>
    </row>
    <row r="7" spans="1:7">
      <c r="A7" s="23" t="s">
        <v>15</v>
      </c>
      <c r="B7" s="8">
        <v>0</v>
      </c>
      <c r="C7" s="9" t="s">
        <v>3</v>
      </c>
    </row>
    <row r="8" spans="1:7">
      <c r="A8" s="23" t="s">
        <v>16</v>
      </c>
      <c r="B8" s="8">
        <v>3.5</v>
      </c>
      <c r="C8" s="9" t="s">
        <v>3</v>
      </c>
    </row>
    <row r="9" spans="1:7">
      <c r="A9" s="23" t="s">
        <v>17</v>
      </c>
      <c r="B9" s="8">
        <v>0.5</v>
      </c>
      <c r="C9" s="9" t="s">
        <v>10</v>
      </c>
    </row>
    <row r="10" spans="1:7">
      <c r="A10" s="23" t="s">
        <v>11</v>
      </c>
      <c r="B10" s="8">
        <v>1.75</v>
      </c>
      <c r="C10" s="9" t="s">
        <v>4</v>
      </c>
    </row>
    <row r="11" spans="1:7">
      <c r="A11" s="23" t="s">
        <v>12</v>
      </c>
      <c r="B11" s="24">
        <v>0</v>
      </c>
      <c r="C11" s="25" t="s">
        <v>4</v>
      </c>
    </row>
    <row r="12" spans="1:7" ht="15" thickBot="1">
      <c r="A12" s="10" t="s">
        <v>18</v>
      </c>
      <c r="B12" s="11">
        <v>5</v>
      </c>
      <c r="C12" s="12" t="s">
        <v>19</v>
      </c>
    </row>
    <row r="13" spans="1:7" ht="15" thickTop="1"/>
    <row r="18" spans="1:9" ht="18">
      <c r="A18" s="2" t="s">
        <v>27</v>
      </c>
    </row>
    <row r="19" spans="1:9" ht="15" thickBot="1"/>
    <row r="20" spans="1:9" ht="15.6" thickTop="1" thickBot="1">
      <c r="A20" s="3" t="s">
        <v>0</v>
      </c>
      <c r="B20" s="3" t="s">
        <v>1</v>
      </c>
      <c r="C20" s="3" t="s">
        <v>5</v>
      </c>
    </row>
    <row r="21" spans="1:9" ht="15" thickTop="1">
      <c r="A21" s="28" t="s">
        <v>20</v>
      </c>
      <c r="B21" s="29" t="s">
        <v>21</v>
      </c>
      <c r="C21" s="30"/>
    </row>
    <row r="22" spans="1:9" ht="15" thickBot="1">
      <c r="A22" s="31" t="s">
        <v>23</v>
      </c>
      <c r="B22" s="11">
        <v>5</v>
      </c>
      <c r="C22" s="32" t="s">
        <v>3</v>
      </c>
    </row>
    <row r="23" spans="1:9" ht="15.6" thickTop="1" thickBot="1">
      <c r="A23" s="31" t="s">
        <v>24</v>
      </c>
      <c r="B23" s="11">
        <f>B6-(B27*1.4)</f>
        <v>4.3</v>
      </c>
      <c r="C23" s="14" t="s">
        <v>3</v>
      </c>
    </row>
    <row r="24" spans="1:9" ht="15.6" thickTop="1" thickBot="1">
      <c r="A24" s="33" t="s">
        <v>45</v>
      </c>
      <c r="B24" s="11">
        <f>B41</f>
        <v>3.5</v>
      </c>
      <c r="C24" s="14" t="s">
        <v>3</v>
      </c>
      <c r="H24" s="20"/>
      <c r="I24" s="21"/>
    </row>
    <row r="25" spans="1:9" ht="15.6" thickTop="1" thickBot="1">
      <c r="A25" s="38" t="s">
        <v>25</v>
      </c>
      <c r="B25" s="11">
        <v>2.5</v>
      </c>
      <c r="C25" s="15" t="s">
        <v>3</v>
      </c>
    </row>
    <row r="26" spans="1:9" ht="15.6" thickTop="1" thickBot="1">
      <c r="A26" s="38" t="s">
        <v>26</v>
      </c>
      <c r="B26" s="11">
        <v>3.5</v>
      </c>
      <c r="C26" s="14" t="s">
        <v>3</v>
      </c>
    </row>
    <row r="27" spans="1:9" ht="15.6" thickTop="1" thickBot="1">
      <c r="A27" s="36" t="s">
        <v>22</v>
      </c>
      <c r="B27" s="11">
        <v>0.5</v>
      </c>
      <c r="C27" s="37" t="s">
        <v>10</v>
      </c>
    </row>
    <row r="28" spans="1:9" ht="15.6" thickTop="1" thickBot="1">
      <c r="A28" s="33" t="s">
        <v>28</v>
      </c>
      <c r="B28" s="11">
        <f>ABS((B23-B25)*B27)</f>
        <v>0.89999999999999991</v>
      </c>
      <c r="C28" s="13" t="s">
        <v>4</v>
      </c>
    </row>
    <row r="29" spans="1:9" ht="15.6" thickTop="1" thickBot="1">
      <c r="A29" s="33" t="s">
        <v>29</v>
      </c>
      <c r="B29" s="11">
        <f>ABS((B23-B24)*B27)</f>
        <v>0.39999999999999991</v>
      </c>
      <c r="C29" s="14" t="s">
        <v>4</v>
      </c>
    </row>
    <row r="30" spans="1:9" ht="15" thickTop="1"/>
    <row r="35" spans="1:35" ht="18">
      <c r="A35" s="2" t="s">
        <v>30</v>
      </c>
    </row>
    <row r="36" spans="1:35" ht="15" thickBot="1"/>
    <row r="37" spans="1:35" ht="15.6" thickTop="1" thickBot="1">
      <c r="A37" s="3" t="s">
        <v>0</v>
      </c>
      <c r="B37" s="3" t="s">
        <v>1</v>
      </c>
      <c r="C37" s="3" t="s">
        <v>5</v>
      </c>
    </row>
    <row r="38" spans="1:35" ht="15" thickTop="1">
      <c r="A38" s="28" t="s">
        <v>35</v>
      </c>
      <c r="B38" s="29" t="s">
        <v>31</v>
      </c>
      <c r="C38" s="30"/>
    </row>
    <row r="39" spans="1:35" ht="15" thickBot="1">
      <c r="A39" s="31" t="s">
        <v>32</v>
      </c>
      <c r="B39" s="11">
        <v>5</v>
      </c>
      <c r="C39" s="32" t="s">
        <v>3</v>
      </c>
    </row>
    <row r="40" spans="1:35" ht="15.6" thickTop="1" thickBot="1">
      <c r="A40" s="31" t="s">
        <v>8</v>
      </c>
      <c r="B40" s="11">
        <v>1.75</v>
      </c>
      <c r="C40" s="14" t="s">
        <v>3</v>
      </c>
    </row>
    <row r="41" spans="1:35" ht="19.2" thickTop="1" thickBot="1">
      <c r="A41" s="33" t="s">
        <v>46</v>
      </c>
      <c r="B41" s="11">
        <v>3.5</v>
      </c>
      <c r="C41" s="14" t="s">
        <v>3</v>
      </c>
      <c r="L41" s="2" t="s">
        <v>6</v>
      </c>
      <c r="Y41" s="2" t="s">
        <v>59</v>
      </c>
    </row>
    <row r="42" spans="1:35" ht="15.6" thickTop="1" thickBot="1">
      <c r="A42" s="38" t="s">
        <v>33</v>
      </c>
      <c r="B42" s="11">
        <v>1.25</v>
      </c>
      <c r="C42" s="15" t="s">
        <v>3</v>
      </c>
    </row>
    <row r="43" spans="1:35" ht="15.6" thickTop="1" thickBot="1">
      <c r="A43" s="38" t="s">
        <v>34</v>
      </c>
      <c r="B43" s="11">
        <v>1.75</v>
      </c>
      <c r="C43" s="14" t="s">
        <v>3</v>
      </c>
      <c r="L43" s="3" t="s">
        <v>0</v>
      </c>
      <c r="M43" s="3" t="s">
        <v>1</v>
      </c>
      <c r="N43" s="3" t="s">
        <v>5</v>
      </c>
      <c r="O43" s="3" t="s">
        <v>1</v>
      </c>
      <c r="P43" s="3" t="s">
        <v>5</v>
      </c>
      <c r="Q43" s="3" t="s">
        <v>1</v>
      </c>
      <c r="R43" s="3" t="s">
        <v>5</v>
      </c>
      <c r="S43" s="3" t="s">
        <v>1</v>
      </c>
      <c r="T43" s="3" t="s">
        <v>5</v>
      </c>
      <c r="U43" s="3" t="s">
        <v>1</v>
      </c>
      <c r="V43" s="3" t="s">
        <v>5</v>
      </c>
      <c r="Y43" s="3" t="s">
        <v>0</v>
      </c>
      <c r="Z43" s="3" t="s">
        <v>1</v>
      </c>
      <c r="AA43" s="3" t="s">
        <v>5</v>
      </c>
      <c r="AB43" s="3" t="s">
        <v>1</v>
      </c>
      <c r="AC43" s="3" t="s">
        <v>5</v>
      </c>
      <c r="AD43" s="3" t="s">
        <v>1</v>
      </c>
      <c r="AE43" s="3" t="s">
        <v>5</v>
      </c>
      <c r="AF43" s="3" t="s">
        <v>1</v>
      </c>
      <c r="AG43" s="3" t="s">
        <v>5</v>
      </c>
      <c r="AH43" s="3" t="s">
        <v>1</v>
      </c>
      <c r="AI43" s="3" t="s">
        <v>5</v>
      </c>
    </row>
    <row r="44" spans="1:35" ht="15.6" thickTop="1" thickBot="1">
      <c r="G44" s="40" t="s">
        <v>60</v>
      </c>
      <c r="H44" s="41"/>
      <c r="I44" s="41"/>
      <c r="J44" s="42"/>
      <c r="L44" s="4" t="s">
        <v>9</v>
      </c>
      <c r="M44" s="5">
        <v>5</v>
      </c>
      <c r="N44" s="16" t="s">
        <v>3</v>
      </c>
      <c r="O44" s="5">
        <v>5</v>
      </c>
      <c r="P44" s="16" t="s">
        <v>3</v>
      </c>
      <c r="Q44" s="34">
        <v>5</v>
      </c>
      <c r="R44" s="16" t="s">
        <v>3</v>
      </c>
      <c r="S44" s="5">
        <v>5</v>
      </c>
      <c r="T44" s="16" t="s">
        <v>3</v>
      </c>
      <c r="U44" s="5">
        <v>5</v>
      </c>
      <c r="V44" s="17" t="s">
        <v>3</v>
      </c>
      <c r="Y44" s="4" t="s">
        <v>9</v>
      </c>
      <c r="Z44" s="5"/>
      <c r="AA44" s="16"/>
      <c r="AB44" s="5"/>
      <c r="AC44" s="16"/>
      <c r="AD44" s="34"/>
      <c r="AE44" s="16"/>
      <c r="AF44" s="5"/>
      <c r="AG44" s="16"/>
      <c r="AH44" s="5"/>
      <c r="AI44" s="17"/>
    </row>
    <row r="45" spans="1:35" ht="15" thickTop="1">
      <c r="G45" s="43" t="s">
        <v>61</v>
      </c>
      <c r="H45" s="44"/>
      <c r="I45" s="44"/>
      <c r="J45" s="45"/>
      <c r="L45" s="27" t="s">
        <v>7</v>
      </c>
      <c r="M45" s="26">
        <f>M46*M47</f>
        <v>3.5000000000000004</v>
      </c>
      <c r="N45" s="16" t="s">
        <v>3</v>
      </c>
      <c r="O45" s="26">
        <f t="shared" ref="O45:U45" si="0">O46*O47</f>
        <v>3.5</v>
      </c>
      <c r="P45" s="16" t="s">
        <v>3</v>
      </c>
      <c r="Q45" s="26">
        <f t="shared" si="0"/>
        <v>3.5</v>
      </c>
      <c r="R45" s="16" t="s">
        <v>3</v>
      </c>
      <c r="S45" s="26">
        <f t="shared" si="0"/>
        <v>1.5</v>
      </c>
      <c r="T45" s="16" t="s">
        <v>3</v>
      </c>
      <c r="U45" s="26">
        <f t="shared" si="0"/>
        <v>0.5</v>
      </c>
      <c r="V45" s="16" t="s">
        <v>3</v>
      </c>
      <c r="Y45" s="27" t="s">
        <v>7</v>
      </c>
      <c r="Z45" s="26"/>
      <c r="AA45" s="16"/>
      <c r="AB45" s="26"/>
      <c r="AC45" s="16"/>
      <c r="AD45" s="26"/>
      <c r="AE45" s="16"/>
      <c r="AF45" s="26"/>
      <c r="AG45" s="16"/>
      <c r="AH45" s="26"/>
      <c r="AI45" s="16"/>
    </row>
    <row r="46" spans="1:35">
      <c r="G46" s="43" t="s">
        <v>62</v>
      </c>
      <c r="H46" s="44"/>
      <c r="I46" s="44"/>
      <c r="J46" s="45"/>
      <c r="L46" s="7" t="s">
        <v>48</v>
      </c>
      <c r="M46" s="39">
        <f>MIN(3.5/M47,0.5)</f>
        <v>3.5000000000000003E-2</v>
      </c>
      <c r="N46" s="37" t="s">
        <v>10</v>
      </c>
      <c r="O46" s="8">
        <f t="shared" ref="O46:U46" si="1">MIN(3.5/O47,0.5)</f>
        <v>0.35</v>
      </c>
      <c r="P46" s="37" t="s">
        <v>10</v>
      </c>
      <c r="Q46" s="8">
        <f t="shared" si="1"/>
        <v>0.5</v>
      </c>
      <c r="R46" s="37" t="s">
        <v>10</v>
      </c>
      <c r="S46" s="8">
        <f t="shared" si="1"/>
        <v>0.5</v>
      </c>
      <c r="T46" s="37" t="s">
        <v>10</v>
      </c>
      <c r="U46" s="8">
        <f t="shared" si="1"/>
        <v>0.5</v>
      </c>
      <c r="V46" s="37" t="s">
        <v>10</v>
      </c>
      <c r="Y46" s="7" t="s">
        <v>48</v>
      </c>
      <c r="Z46" s="39"/>
      <c r="AA46" s="37"/>
      <c r="AB46" s="8"/>
      <c r="AC46" s="37"/>
      <c r="AD46" s="8"/>
      <c r="AE46" s="37"/>
      <c r="AF46" s="8"/>
      <c r="AG46" s="37"/>
      <c r="AH46" s="8"/>
      <c r="AI46" s="37"/>
    </row>
    <row r="47" spans="1:35">
      <c r="G47" s="43" t="s">
        <v>63</v>
      </c>
      <c r="H47" s="44"/>
      <c r="I47" s="44"/>
      <c r="J47" s="45"/>
      <c r="L47" s="7" t="s">
        <v>56</v>
      </c>
      <c r="M47" s="8">
        <v>100</v>
      </c>
      <c r="N47" s="14" t="s">
        <v>42</v>
      </c>
      <c r="O47" s="8">
        <v>10</v>
      </c>
      <c r="P47" s="14" t="s">
        <v>42</v>
      </c>
      <c r="Q47" s="35">
        <v>7</v>
      </c>
      <c r="R47" s="14" t="s">
        <v>42</v>
      </c>
      <c r="S47" s="8">
        <v>3</v>
      </c>
      <c r="T47" s="14" t="s">
        <v>42</v>
      </c>
      <c r="U47" s="8">
        <v>1</v>
      </c>
      <c r="V47" s="14" t="s">
        <v>42</v>
      </c>
      <c r="Y47" s="7" t="s">
        <v>56</v>
      </c>
      <c r="Z47" s="8"/>
      <c r="AA47" s="14"/>
      <c r="AB47" s="8"/>
      <c r="AC47" s="14"/>
      <c r="AD47" s="35"/>
      <c r="AE47" s="14"/>
      <c r="AF47" s="8"/>
      <c r="AG47" s="14"/>
      <c r="AH47" s="8"/>
      <c r="AI47" s="14"/>
    </row>
    <row r="48" spans="1:35" ht="15" thickBot="1">
      <c r="G48" s="43" t="s">
        <v>64</v>
      </c>
      <c r="H48" s="44"/>
      <c r="I48" s="44"/>
      <c r="J48" s="45"/>
      <c r="L48" s="7" t="s">
        <v>8</v>
      </c>
      <c r="M48" s="8">
        <v>1.75</v>
      </c>
      <c r="N48" s="18" t="s">
        <v>3</v>
      </c>
      <c r="O48" s="8">
        <v>1.75</v>
      </c>
      <c r="P48" s="18" t="s">
        <v>3</v>
      </c>
      <c r="Q48" s="35">
        <v>1.75</v>
      </c>
      <c r="R48" s="18" t="s">
        <v>3</v>
      </c>
      <c r="S48" s="8">
        <v>1.75</v>
      </c>
      <c r="T48" s="18" t="s">
        <v>3</v>
      </c>
      <c r="U48" s="8">
        <v>1.75</v>
      </c>
      <c r="V48" s="18" t="s">
        <v>3</v>
      </c>
      <c r="Y48" s="7" t="s">
        <v>8</v>
      </c>
      <c r="Z48" s="8"/>
      <c r="AA48" s="18"/>
      <c r="AB48" s="8"/>
      <c r="AC48" s="18"/>
      <c r="AD48" s="35"/>
      <c r="AE48" s="18"/>
      <c r="AF48" s="8"/>
      <c r="AG48" s="18"/>
      <c r="AH48" s="8"/>
      <c r="AI48" s="18"/>
    </row>
    <row r="49" spans="1:35" ht="19.2" thickTop="1" thickBot="1">
      <c r="A49" s="2" t="s">
        <v>36</v>
      </c>
      <c r="G49" s="43" t="s">
        <v>65</v>
      </c>
      <c r="H49" s="44"/>
      <c r="I49" s="44"/>
      <c r="J49" s="45"/>
      <c r="L49" s="7" t="s">
        <v>49</v>
      </c>
      <c r="M49" s="8">
        <f>M45/2</f>
        <v>1.7500000000000002</v>
      </c>
      <c r="N49" s="16" t="s">
        <v>3</v>
      </c>
      <c r="O49" s="8">
        <f t="shared" ref="O49:U49" si="2">O45/2</f>
        <v>1.75</v>
      </c>
      <c r="P49" s="16" t="s">
        <v>3</v>
      </c>
      <c r="Q49" s="8">
        <f t="shared" si="2"/>
        <v>1.75</v>
      </c>
      <c r="R49" s="16" t="s">
        <v>3</v>
      </c>
      <c r="S49" s="8">
        <f t="shared" si="2"/>
        <v>0.75</v>
      </c>
      <c r="T49" s="16" t="s">
        <v>3</v>
      </c>
      <c r="U49" s="8">
        <f t="shared" si="2"/>
        <v>0.25</v>
      </c>
      <c r="V49" s="16" t="s">
        <v>3</v>
      </c>
      <c r="Y49" s="7" t="s">
        <v>49</v>
      </c>
      <c r="Z49" s="8"/>
      <c r="AA49" s="16"/>
      <c r="AB49" s="8"/>
      <c r="AC49" s="16"/>
      <c r="AD49" s="8"/>
      <c r="AE49" s="16"/>
      <c r="AF49" s="8"/>
      <c r="AG49" s="16"/>
      <c r="AH49" s="8"/>
      <c r="AI49" s="16"/>
    </row>
    <row r="50" spans="1:35" ht="15.6" thickTop="1" thickBot="1">
      <c r="G50" s="43" t="s">
        <v>66</v>
      </c>
      <c r="H50" s="44"/>
      <c r="I50" s="44"/>
      <c r="J50" s="45"/>
      <c r="L50" s="23" t="s">
        <v>50</v>
      </c>
      <c r="M50" s="8">
        <v>3.5</v>
      </c>
      <c r="N50" s="16" t="s">
        <v>3</v>
      </c>
      <c r="O50" s="8">
        <v>3.5</v>
      </c>
      <c r="P50" s="16" t="s">
        <v>3</v>
      </c>
      <c r="Q50" s="35">
        <v>3.5</v>
      </c>
      <c r="R50" s="16" t="s">
        <v>3</v>
      </c>
      <c r="S50" s="8">
        <v>3.5</v>
      </c>
      <c r="T50" s="16" t="s">
        <v>3</v>
      </c>
      <c r="U50" s="8">
        <v>3.5</v>
      </c>
      <c r="V50" s="16" t="s">
        <v>3</v>
      </c>
      <c r="Y50" s="23" t="s">
        <v>50</v>
      </c>
      <c r="Z50" s="8"/>
      <c r="AA50" s="16"/>
      <c r="AB50" s="8"/>
      <c r="AC50" s="16"/>
      <c r="AD50" s="35"/>
      <c r="AE50" s="16"/>
      <c r="AF50" s="8"/>
      <c r="AG50" s="16"/>
      <c r="AH50" s="8"/>
      <c r="AI50" s="16"/>
    </row>
    <row r="51" spans="1:35" ht="15.6" thickTop="1" thickBot="1">
      <c r="A51" s="3" t="s">
        <v>0</v>
      </c>
      <c r="B51" s="3" t="s">
        <v>1</v>
      </c>
      <c r="C51" s="3" t="s">
        <v>5</v>
      </c>
      <c r="G51" s="43" t="s">
        <v>67</v>
      </c>
      <c r="H51" s="44"/>
      <c r="I51" s="44"/>
      <c r="J51" s="45"/>
      <c r="L51" s="23" t="s">
        <v>51</v>
      </c>
      <c r="M51" s="8">
        <f>M44-(M46*1.4)</f>
        <v>4.9509999999999996</v>
      </c>
      <c r="N51" s="16" t="s">
        <v>3</v>
      </c>
      <c r="O51" s="8">
        <f t="shared" ref="O51:U51" si="3">O44-(O46*1.4)</f>
        <v>4.51</v>
      </c>
      <c r="P51" s="16" t="s">
        <v>3</v>
      </c>
      <c r="Q51" s="8">
        <f t="shared" si="3"/>
        <v>4.3</v>
      </c>
      <c r="R51" s="16" t="s">
        <v>3</v>
      </c>
      <c r="S51" s="8">
        <f t="shared" si="3"/>
        <v>4.3</v>
      </c>
      <c r="T51" s="16" t="s">
        <v>3</v>
      </c>
      <c r="U51" s="8">
        <f t="shared" si="3"/>
        <v>4.3</v>
      </c>
      <c r="V51" s="16" t="s">
        <v>3</v>
      </c>
      <c r="Y51" s="23" t="s">
        <v>51</v>
      </c>
      <c r="Z51" s="8"/>
      <c r="AA51" s="16"/>
      <c r="AB51" s="8"/>
      <c r="AC51" s="16"/>
      <c r="AD51" s="8"/>
      <c r="AE51" s="16"/>
      <c r="AF51" s="8"/>
      <c r="AG51" s="16"/>
      <c r="AH51" s="8"/>
      <c r="AI51" s="16"/>
    </row>
    <row r="52" spans="1:35" ht="15.6" thickTop="1" thickBot="1">
      <c r="A52" s="28" t="s">
        <v>37</v>
      </c>
      <c r="B52" s="29" t="s">
        <v>38</v>
      </c>
      <c r="C52" s="30"/>
      <c r="G52" s="43" t="s">
        <v>68</v>
      </c>
      <c r="H52" s="44"/>
      <c r="I52" s="44"/>
      <c r="J52" s="45"/>
      <c r="L52" s="7" t="s">
        <v>52</v>
      </c>
      <c r="M52" s="8">
        <f>M45</f>
        <v>3.5000000000000004</v>
      </c>
      <c r="N52" s="16" t="s">
        <v>3</v>
      </c>
      <c r="O52" s="8">
        <f t="shared" ref="O52:U52" si="4">O45</f>
        <v>3.5</v>
      </c>
      <c r="P52" s="16" t="s">
        <v>3</v>
      </c>
      <c r="Q52" s="8">
        <f t="shared" si="4"/>
        <v>3.5</v>
      </c>
      <c r="R52" s="16" t="s">
        <v>3</v>
      </c>
      <c r="S52" s="8">
        <f t="shared" si="4"/>
        <v>1.5</v>
      </c>
      <c r="T52" s="16" t="s">
        <v>3</v>
      </c>
      <c r="U52" s="8">
        <f t="shared" si="4"/>
        <v>0.5</v>
      </c>
      <c r="V52" s="16" t="s">
        <v>3</v>
      </c>
      <c r="Y52" s="7" t="s">
        <v>52</v>
      </c>
      <c r="Z52" s="8"/>
      <c r="AA52" s="16"/>
      <c r="AB52" s="8"/>
      <c r="AC52" s="16"/>
      <c r="AD52" s="8"/>
      <c r="AE52" s="16"/>
      <c r="AF52" s="8"/>
      <c r="AG52" s="16"/>
      <c r="AH52" s="8"/>
      <c r="AI52" s="16"/>
    </row>
    <row r="53" spans="1:35" ht="15.6" thickTop="1" thickBot="1">
      <c r="A53" s="31" t="s">
        <v>39</v>
      </c>
      <c r="B53" s="11">
        <f>B6</f>
        <v>5</v>
      </c>
      <c r="C53" s="32" t="s">
        <v>3</v>
      </c>
      <c r="G53" s="43" t="s">
        <v>69</v>
      </c>
      <c r="H53" s="44"/>
      <c r="I53" s="44"/>
      <c r="J53" s="45"/>
      <c r="L53" s="7" t="s">
        <v>58</v>
      </c>
      <c r="M53" s="8">
        <f>M50-M51</f>
        <v>-1.4509999999999996</v>
      </c>
      <c r="N53" s="16" t="s">
        <v>3</v>
      </c>
      <c r="O53" s="8">
        <f t="shared" ref="N53:V53" si="5">O50-O51</f>
        <v>-1.0099999999999998</v>
      </c>
      <c r="P53" s="16" t="s">
        <v>3</v>
      </c>
      <c r="Q53" s="8">
        <f t="shared" si="5"/>
        <v>-0.79999999999999982</v>
      </c>
      <c r="R53" s="16" t="s">
        <v>3</v>
      </c>
      <c r="S53" s="8">
        <f t="shared" si="5"/>
        <v>-0.79999999999999982</v>
      </c>
      <c r="T53" s="16" t="s">
        <v>3</v>
      </c>
      <c r="U53" s="8">
        <f t="shared" si="5"/>
        <v>-0.79999999999999982</v>
      </c>
      <c r="V53" s="16" t="s">
        <v>3</v>
      </c>
      <c r="Y53" s="7" t="s">
        <v>58</v>
      </c>
      <c r="Z53" s="8"/>
      <c r="AA53" s="16"/>
      <c r="AB53" s="8"/>
      <c r="AC53" s="16"/>
      <c r="AD53" s="8"/>
      <c r="AE53" s="16"/>
      <c r="AF53" s="8"/>
      <c r="AG53" s="16"/>
      <c r="AH53" s="8"/>
      <c r="AI53" s="16"/>
    </row>
    <row r="54" spans="1:35" ht="15.6" thickTop="1" thickBot="1">
      <c r="A54" s="31" t="s">
        <v>44</v>
      </c>
      <c r="B54" s="11">
        <f>(B56*B57)</f>
        <v>0.70499999999999996</v>
      </c>
      <c r="C54" s="14" t="s">
        <v>3</v>
      </c>
      <c r="G54" s="43" t="s">
        <v>70</v>
      </c>
      <c r="H54" s="44"/>
      <c r="I54" s="44"/>
      <c r="J54" s="45"/>
      <c r="L54" s="7" t="s">
        <v>57</v>
      </c>
      <c r="M54" s="8">
        <f>M52-M51</f>
        <v>-1.4509999999999992</v>
      </c>
      <c r="N54" s="16" t="s">
        <v>3</v>
      </c>
      <c r="O54" s="8">
        <f t="shared" ref="N54:V54" si="6">O52-O51</f>
        <v>-1.0099999999999998</v>
      </c>
      <c r="P54" s="16" t="s">
        <v>3</v>
      </c>
      <c r="Q54" s="8">
        <f t="shared" si="6"/>
        <v>-0.79999999999999982</v>
      </c>
      <c r="R54" s="16" t="s">
        <v>3</v>
      </c>
      <c r="S54" s="8">
        <f t="shared" si="6"/>
        <v>-2.8</v>
      </c>
      <c r="T54" s="16" t="s">
        <v>3</v>
      </c>
      <c r="U54" s="8">
        <f t="shared" si="6"/>
        <v>-3.8</v>
      </c>
      <c r="V54" s="16" t="s">
        <v>3</v>
      </c>
      <c r="Y54" s="7" t="s">
        <v>57</v>
      </c>
      <c r="Z54" s="8"/>
      <c r="AA54" s="16"/>
      <c r="AB54" s="8"/>
      <c r="AC54" s="16"/>
      <c r="AD54" s="8"/>
      <c r="AE54" s="16"/>
      <c r="AF54" s="8"/>
      <c r="AG54" s="16"/>
      <c r="AH54" s="8"/>
      <c r="AI54" s="16"/>
    </row>
    <row r="55" spans="1:35" ht="15.6" thickTop="1" thickBot="1">
      <c r="A55" s="31" t="s">
        <v>40</v>
      </c>
      <c r="B55" s="11">
        <f>ABS(B6-(B56*B27))</f>
        <v>4.2949999999999999</v>
      </c>
      <c r="C55" s="14" t="s">
        <v>3</v>
      </c>
      <c r="G55" s="43" t="s">
        <v>71</v>
      </c>
      <c r="H55" s="44"/>
      <c r="I55" s="44"/>
      <c r="J55" s="45"/>
      <c r="L55" s="19" t="s">
        <v>53</v>
      </c>
      <c r="M55" s="8">
        <f>ABS(M54*M46)</f>
        <v>5.0784999999999976E-2</v>
      </c>
      <c r="N55" s="14" t="s">
        <v>4</v>
      </c>
      <c r="O55" s="8">
        <f t="shared" ref="N55:U55" si="7">ABS(O54*O46)</f>
        <v>0.35349999999999993</v>
      </c>
      <c r="P55" s="14" t="s">
        <v>4</v>
      </c>
      <c r="Q55" s="8">
        <f t="shared" si="7"/>
        <v>0.39999999999999991</v>
      </c>
      <c r="R55" s="14" t="s">
        <v>4</v>
      </c>
      <c r="S55" s="8">
        <f t="shared" si="7"/>
        <v>1.4</v>
      </c>
      <c r="T55" s="14" t="s">
        <v>4</v>
      </c>
      <c r="U55" s="8">
        <f t="shared" si="7"/>
        <v>1.9</v>
      </c>
      <c r="V55" s="14" t="s">
        <v>4</v>
      </c>
      <c r="Y55" s="19" t="s">
        <v>53</v>
      </c>
      <c r="Z55" s="8"/>
      <c r="AA55" s="14"/>
      <c r="AB55" s="8"/>
      <c r="AC55" s="14"/>
      <c r="AD55" s="8"/>
      <c r="AE55" s="14"/>
      <c r="AF55" s="8"/>
      <c r="AG55" s="14"/>
      <c r="AH55" s="8"/>
      <c r="AI55" s="14"/>
    </row>
    <row r="56" spans="1:35" ht="15.6" thickTop="1" thickBot="1">
      <c r="A56" s="33" t="s">
        <v>41</v>
      </c>
      <c r="B56" s="11">
        <v>1.41</v>
      </c>
      <c r="C56" s="14" t="s">
        <v>42</v>
      </c>
      <c r="G56" s="43" t="s">
        <v>72</v>
      </c>
      <c r="H56" s="44"/>
      <c r="I56" s="44"/>
      <c r="J56" s="45"/>
      <c r="L56" s="19" t="s">
        <v>54</v>
      </c>
      <c r="M56" s="8">
        <f>M46*1.4</f>
        <v>4.9000000000000002E-2</v>
      </c>
      <c r="N56" s="16" t="s">
        <v>3</v>
      </c>
      <c r="O56" s="8">
        <f t="shared" ref="O56:U56" si="8">O46*1.4</f>
        <v>0.48999999999999994</v>
      </c>
      <c r="P56" s="16" t="s">
        <v>3</v>
      </c>
      <c r="Q56" s="8">
        <f t="shared" si="8"/>
        <v>0.7</v>
      </c>
      <c r="R56" s="16" t="s">
        <v>3</v>
      </c>
      <c r="S56" s="8">
        <f t="shared" si="8"/>
        <v>0.7</v>
      </c>
      <c r="T56" s="16" t="s">
        <v>3</v>
      </c>
      <c r="U56" s="8">
        <f t="shared" si="8"/>
        <v>0.7</v>
      </c>
      <c r="V56" s="16" t="s">
        <v>3</v>
      </c>
      <c r="Y56" s="19" t="s">
        <v>54</v>
      </c>
      <c r="Z56" s="8"/>
      <c r="AA56" s="16"/>
      <c r="AB56" s="8"/>
      <c r="AC56" s="16"/>
      <c r="AD56" s="8"/>
      <c r="AE56" s="16"/>
      <c r="AF56" s="8"/>
      <c r="AG56" s="16"/>
      <c r="AH56" s="8"/>
      <c r="AI56" s="16"/>
    </row>
    <row r="57" spans="1:35" ht="15.6" thickTop="1" thickBot="1">
      <c r="A57" s="38" t="s">
        <v>43</v>
      </c>
      <c r="B57" s="11">
        <v>0.5</v>
      </c>
      <c r="C57" s="15" t="s">
        <v>10</v>
      </c>
      <c r="G57" s="46" t="s">
        <v>73</v>
      </c>
      <c r="H57" s="47"/>
      <c r="I57" s="47"/>
      <c r="J57" s="48"/>
      <c r="L57" s="19" t="s">
        <v>55</v>
      </c>
      <c r="M57" s="8">
        <f>M44-M56</f>
        <v>4.9509999999999996</v>
      </c>
      <c r="N57" s="16" t="s">
        <v>3</v>
      </c>
      <c r="O57" s="8">
        <f t="shared" ref="O57:U57" si="9">O44-O56</f>
        <v>4.51</v>
      </c>
      <c r="P57" s="16" t="s">
        <v>3</v>
      </c>
      <c r="Q57" s="8">
        <f t="shared" si="9"/>
        <v>4.3</v>
      </c>
      <c r="R57" s="16" t="s">
        <v>3</v>
      </c>
      <c r="S57" s="8">
        <f t="shared" si="9"/>
        <v>4.3</v>
      </c>
      <c r="T57" s="16" t="s">
        <v>3</v>
      </c>
      <c r="U57" s="8">
        <f t="shared" si="9"/>
        <v>4.3</v>
      </c>
      <c r="V57" s="16" t="s">
        <v>3</v>
      </c>
      <c r="Y57" s="19" t="s">
        <v>55</v>
      </c>
      <c r="Z57" s="8"/>
      <c r="AA57" s="16"/>
      <c r="AB57" s="8"/>
      <c r="AC57" s="16"/>
      <c r="AD57" s="8"/>
      <c r="AE57" s="16"/>
      <c r="AF57" s="8"/>
      <c r="AG57" s="16"/>
      <c r="AH57" s="8"/>
      <c r="AI57" s="16"/>
    </row>
    <row r="58" spans="1:35" ht="15" thickTop="1"/>
  </sheetData>
  <pageMargins left="0.7" right="0.7" top="0.75" bottom="0.75" header="0.3" footer="0.3"/>
  <pageSetup paperSize="9" scale="44" orientation="landscape" r:id="rId1"/>
  <drawing r:id="rId2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Kyle Premadasa</cp:lastModifiedBy>
  <cp:lastPrinted>2026-08-25T02:59:28Z</cp:lastPrinted>
  <dcterms:created xsi:type="dcterms:W3CDTF">2025-12-20T08:56:10Z</dcterms:created>
  <dcterms:modified xsi:type="dcterms:W3CDTF">2026-08-25T05:46:54Z</dcterms:modified>
</cp:coreProperties>
</file>