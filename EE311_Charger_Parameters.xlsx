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deb8a6805bc7d3/Documents/311 Github/311-Group-9/"/>
    </mc:Choice>
  </mc:AlternateContent>
  <xr:revisionPtr revIDLastSave="7" documentId="13_ncr:1_{20C5C26B-082A-4702-9DBF-333ED5865572}" xr6:coauthVersionLast="47" xr6:coauthVersionMax="47" xr10:uidLastSave="{68CECD24-3CA6-4FD0-9212-B51B34948FA9}"/>
  <bookViews>
    <workbookView xWindow="-108" yWindow="-108" windowWidth="23256" windowHeight="12456" xr2:uid="{0EA872C3-4804-43CB-9F0B-5F94DB7B4351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2" i="3" l="1"/>
  <c r="AC72" i="3"/>
  <c r="AA72" i="3"/>
  <c r="Y72" i="3"/>
  <c r="W72" i="3"/>
  <c r="U72" i="3"/>
  <c r="Q72" i="3"/>
  <c r="O72" i="3"/>
  <c r="M72" i="3"/>
  <c r="K72" i="3"/>
  <c r="I72" i="3"/>
  <c r="G72" i="3"/>
  <c r="B24" i="3"/>
  <c r="B23" i="3"/>
  <c r="B29" i="3"/>
  <c r="W71" i="3"/>
  <c r="Y71" i="3"/>
  <c r="AA71" i="3"/>
  <c r="AC71" i="3"/>
  <c r="AE71" i="3"/>
  <c r="U71" i="3"/>
  <c r="Q66" i="3"/>
  <c r="G66" i="3"/>
  <c r="I66" i="3"/>
  <c r="I65" i="3" s="1"/>
  <c r="K66" i="3"/>
  <c r="K65" i="3" s="1"/>
  <c r="M66" i="3"/>
  <c r="M65" i="3" s="1"/>
  <c r="O66" i="3"/>
  <c r="O65" i="3" s="1"/>
  <c r="B55" i="3"/>
  <c r="B53" i="3"/>
  <c r="Q65" i="3" l="1"/>
  <c r="Q70" i="3" s="1"/>
  <c r="Q71" i="3" s="1"/>
  <c r="M70" i="3"/>
  <c r="M71" i="3" s="1"/>
  <c r="Q69" i="3"/>
  <c r="I70" i="3"/>
  <c r="I71" i="3" s="1"/>
  <c r="K70" i="3"/>
  <c r="K71" i="3" s="1"/>
  <c r="O70" i="3"/>
  <c r="O71" i="3" s="1"/>
  <c r="O69" i="3"/>
  <c r="M69" i="3"/>
  <c r="K69" i="3"/>
  <c r="I69" i="3"/>
  <c r="G65" i="3"/>
  <c r="G70" i="3" s="1"/>
  <c r="G71" i="3" s="1"/>
  <c r="B28" i="3"/>
  <c r="G69" i="3" l="1"/>
</calcChain>
</file>

<file path=xl/sharedStrings.xml><?xml version="1.0" encoding="utf-8"?>
<sst xmlns="http://schemas.openxmlformats.org/spreadsheetml/2006/main" count="237" uniqueCount="64">
  <si>
    <t>Parameter</t>
  </si>
  <si>
    <t>Value</t>
  </si>
  <si>
    <t>Unit</t>
  </si>
  <si>
    <t>V</t>
  </si>
  <si>
    <t>W</t>
  </si>
  <si>
    <t>Unit (eq)</t>
  </si>
  <si>
    <t>Evaluating Steady-State Operating Conditions (Theoretical)</t>
  </si>
  <si>
    <t>Vout</t>
  </si>
  <si>
    <t>Vref</t>
  </si>
  <si>
    <t>Vin</t>
  </si>
  <si>
    <t>A</t>
  </si>
  <si>
    <t>Max Pout(avg)</t>
  </si>
  <si>
    <t>Min Pout(avg)</t>
  </si>
  <si>
    <t>Charger Design</t>
  </si>
  <si>
    <t>Charger Design Specifications</t>
  </si>
  <si>
    <t>Min Vout(avg)</t>
  </si>
  <si>
    <t>Max Vout(avg)</t>
  </si>
  <si>
    <t>Max Current(avg)</t>
  </si>
  <si>
    <t>Voltage Regulation</t>
  </si>
  <si>
    <t>%</t>
  </si>
  <si>
    <t>Selected Mosfet</t>
  </si>
  <si>
    <t>Max ID</t>
  </si>
  <si>
    <t>Max Source Voltage</t>
  </si>
  <si>
    <t>Source Voltage @ Max ID</t>
  </si>
  <si>
    <t>Expected Drain Voltage(min)</t>
  </si>
  <si>
    <t>Expected Drain Voltage(max)</t>
  </si>
  <si>
    <t>Evaluating Key Mosfet Parameters (Theoretical)</t>
  </si>
  <si>
    <t>Power Dissipation @ 2.5Vout</t>
  </si>
  <si>
    <t>Power Dissipation @ 3.5Vout</t>
  </si>
  <si>
    <t>Evaluating Key Opamp Parameters (Theoretical)</t>
  </si>
  <si>
    <t>Supply Voltage</t>
  </si>
  <si>
    <t>Feedback Voltage @ 2.5 Vout</t>
  </si>
  <si>
    <t>Feedback Voltage @ 3.5 Vout</t>
  </si>
  <si>
    <t>Selected Opamp</t>
  </si>
  <si>
    <t>Evaluating Key BJT Parameters (Theoretical)</t>
  </si>
  <si>
    <t>Selected BJT</t>
  </si>
  <si>
    <t>BD140</t>
  </si>
  <si>
    <t>Emitter Voltage</t>
  </si>
  <si>
    <t>Base Voltage @ Current Limit</t>
  </si>
  <si>
    <t xml:space="preserve">Sense Resitance </t>
  </si>
  <si>
    <t>Ω</t>
  </si>
  <si>
    <t>Current Limit</t>
  </si>
  <si>
    <t>VEB Turn on voltage</t>
  </si>
  <si>
    <t>Stead State Gate Voltage</t>
  </si>
  <si>
    <t>Steady State Output Voltage</t>
  </si>
  <si>
    <t xml:space="preserve">Iout </t>
  </si>
  <si>
    <t>Vfb</t>
  </si>
  <si>
    <t>Mpower</t>
  </si>
  <si>
    <t>Vrsense</t>
  </si>
  <si>
    <t>Rload</t>
  </si>
  <si>
    <t>VDS</t>
  </si>
  <si>
    <t>Evaluating Steady-State Operating Conditions (Simulation)</t>
  </si>
  <si>
    <t>Vin = 5 V</t>
  </si>
  <si>
    <t>Vout = Iout × Rload</t>
  </si>
  <si>
    <t>Selected test value</t>
  </si>
  <si>
    <t>Vref = Vout(target) × R7/(R6+R7)</t>
  </si>
  <si>
    <t>Vfb = Vout × R7/(R6+R7)</t>
  </si>
  <si>
    <t>VDS = Vdrain - Vsource</t>
  </si>
  <si>
    <t>Pmos = ABS(VDS) × ID</t>
  </si>
  <si>
    <t>Vrsense = Iout × Rsense</t>
  </si>
  <si>
    <t>Iout = Vout/Rload</t>
  </si>
  <si>
    <t>IRF4905PBF</t>
  </si>
  <si>
    <t>TLV9162</t>
  </si>
  <si>
    <t>Incorrect Value. Changed from 5v to 3.5v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</si>
</sst>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rgb="FF3F3F3F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rgb="FF3F3F3F"/>
      </right>
      <top style="thin">
        <color auto="1"/>
      </top>
      <bottom/>
      <diagonal/>
    </border>
    <border>
      <left style="double">
        <color rgb="FF3F3F3F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/>
      <diagonal/>
    </border>
    <border>
      <left style="thin">
        <color auto="1"/>
      </left>
      <right style="double">
        <color rgb="FF3F3F3F"/>
      </right>
      <top style="thin">
        <color rgb="FF3F3F3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1" applyFont="1"/>
    <xf numFmtId="0" fontId="4" fillId="3" borderId="2" xfId="2" applyFont="1" applyBorder="1"/>
    <xf numFmtId="2" fontId="4" fillId="4" borderId="3" xfId="0" applyNumberFormat="1" applyFont="1" applyFill="1" applyBorder="1"/>
    <xf numFmtId="0" fontId="4" fillId="0" borderId="4" xfId="0" applyFont="1" applyBorder="1"/>
    <xf numFmtId="0" fontId="4" fillId="3" borderId="5" xfId="2" applyFont="1" applyBorder="1"/>
    <xf numFmtId="2" fontId="4" fillId="4" borderId="6" xfId="0" applyNumberFormat="1" applyFont="1" applyFill="1" applyBorder="1"/>
    <xf numFmtId="0" fontId="4" fillId="0" borderId="7" xfId="0" applyFont="1" applyBorder="1"/>
    <xf numFmtId="2" fontId="4" fillId="4" borderId="17" xfId="0" applyNumberFormat="1" applyFont="1" applyFill="1" applyBorder="1"/>
    <xf numFmtId="0" fontId="4" fillId="0" borderId="18" xfId="0" applyFont="1" applyBorder="1"/>
    <xf numFmtId="0" fontId="4" fillId="3" borderId="8" xfId="2" applyFont="1" applyBorder="1"/>
    <xf numFmtId="2" fontId="4" fillId="4" borderId="9" xfId="0" applyNumberFormat="1" applyFont="1" applyFill="1" applyBorder="1"/>
    <xf numFmtId="0" fontId="4" fillId="0" borderId="10" xfId="0" applyFont="1" applyBorder="1"/>
    <xf numFmtId="0" fontId="4" fillId="3" borderId="20" xfId="2" applyFont="1" applyBorder="1"/>
    <xf numFmtId="2" fontId="4" fillId="0" borderId="21" xfId="0" applyNumberFormat="1" applyFont="1" applyBorder="1"/>
    <xf numFmtId="49" fontId="4" fillId="0" borderId="22" xfId="0" applyNumberFormat="1" applyFont="1" applyBorder="1"/>
    <xf numFmtId="0" fontId="4" fillId="3" borderId="23" xfId="2" applyFont="1" applyBorder="1"/>
    <xf numFmtId="49" fontId="4" fillId="0" borderId="24" xfId="0" applyNumberFormat="1" applyFont="1" applyBorder="1"/>
    <xf numFmtId="49" fontId="4" fillId="0" borderId="13" xfId="0" applyNumberFormat="1" applyFont="1" applyBorder="1"/>
    <xf numFmtId="0" fontId="4" fillId="3" borderId="11" xfId="2" applyFont="1" applyBorder="1"/>
    <xf numFmtId="164" fontId="4" fillId="0" borderId="0" xfId="0" applyNumberFormat="1" applyFont="1"/>
    <xf numFmtId="49" fontId="4" fillId="0" borderId="0" xfId="0" applyNumberFormat="1" applyFont="1"/>
    <xf numFmtId="49" fontId="4" fillId="0" borderId="10" xfId="0" applyNumberFormat="1" applyFont="1" applyBorder="1"/>
    <xf numFmtId="0" fontId="4" fillId="3" borderId="25" xfId="2" applyFont="1" applyBorder="1"/>
    <xf numFmtId="49" fontId="4" fillId="0" borderId="26" xfId="0" applyNumberFormat="1" applyFont="1" applyBorder="1"/>
    <xf numFmtId="49" fontId="4" fillId="0" borderId="12" xfId="0" applyNumberFormat="1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165" fontId="4" fillId="4" borderId="3" xfId="0" applyNumberFormat="1" applyFont="1" applyFill="1" applyBorder="1"/>
    <xf numFmtId="165" fontId="4" fillId="0" borderId="3" xfId="0" applyNumberFormat="1" applyFont="1" applyBorder="1"/>
    <xf numFmtId="165" fontId="4" fillId="5" borderId="3" xfId="0" applyNumberFormat="1" applyFont="1" applyFill="1" applyBorder="1"/>
    <xf numFmtId="165" fontId="4" fillId="0" borderId="15" xfId="0" applyNumberFormat="1" applyFont="1" applyBorder="1"/>
    <xf numFmtId="0" fontId="6" fillId="0" borderId="30" xfId="0" applyFont="1" applyBorder="1"/>
    <xf numFmtId="0" fontId="6" fillId="0" borderId="0" xfId="0" applyFont="1"/>
    <xf numFmtId="0" fontId="6" fillId="0" borderId="31" xfId="0" applyFont="1" applyBorder="1"/>
    <xf numFmtId="0" fontId="4" fillId="3" borderId="19" xfId="2" applyFont="1" applyBorder="1"/>
    <xf numFmtId="165" fontId="4" fillId="4" borderId="14" xfId="0" applyNumberFormat="1" applyFont="1" applyFill="1" applyBorder="1"/>
    <xf numFmtId="165" fontId="4" fillId="4" borderId="6" xfId="0" applyNumberFormat="1" applyFont="1" applyFill="1" applyBorder="1"/>
    <xf numFmtId="165" fontId="4" fillId="0" borderId="26" xfId="0" applyNumberFormat="1" applyFont="1" applyBorder="1"/>
    <xf numFmtId="165" fontId="4" fillId="0" borderId="13" xfId="0" applyNumberFormat="1" applyFont="1" applyBorder="1"/>
    <xf numFmtId="165" fontId="4" fillId="5" borderId="6" xfId="0" applyNumberFormat="1" applyFont="1" applyFill="1" applyBorder="1"/>
    <xf numFmtId="165" fontId="4" fillId="0" borderId="6" xfId="0" applyNumberFormat="1" applyFont="1" applyBorder="1"/>
    <xf numFmtId="0" fontId="4" fillId="3" borderId="16" xfId="2" applyFont="1" applyBorder="1"/>
    <xf numFmtId="0" fontId="6" fillId="0" borderId="32" xfId="0" applyFont="1" applyBorder="1"/>
    <xf numFmtId="0" fontId="6" fillId="0" borderId="33" xfId="0" applyFont="1" applyBorder="1"/>
    <xf numFmtId="0" fontId="6" fillId="0" borderId="34" xfId="0" applyFont="1" applyBorder="1"/>
  </cellXfs>
  <cellStyles count="3">
    <cellStyle name="20% - Accent1" xfId="2" builtinId="30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521C-5B07-44ED-8604-0670432A7445}">
  <sheetPr>
    <pageSetUpPr fitToPage="1"/>
  </sheetPr>
  <dimension ref="A1:AF72"/>
  <sheetViews>
    <sheetView tabSelected="1" zoomScale="61" zoomScaleNormal="70" workbookViewId="0">
      <selection activeCell="E8" sqref="E8"/>
    </sheetView>
  </sheetViews>
  <sheetFormatPr defaultColWidth="8.88671875" defaultRowHeight="18" x14ac:dyDescent="0.35"/>
  <cols>
    <col min="1" max="1" width="28.44140625" style="2" customWidth="1"/>
    <col min="2" max="2" width="8.88671875" style="2" customWidth="1"/>
    <col min="3" max="6" width="8.88671875" style="2"/>
    <col min="7" max="7" width="10" style="2" bestFit="1" customWidth="1"/>
    <col min="8" max="8" width="8.88671875" style="2"/>
    <col min="9" max="9" width="9" style="2" bestFit="1" customWidth="1"/>
    <col min="10" max="10" width="8.88671875" style="2"/>
    <col min="11" max="11" width="9" style="2" bestFit="1" customWidth="1"/>
    <col min="12" max="12" width="10.6640625" style="2" customWidth="1"/>
    <col min="13" max="13" width="9" style="2" bestFit="1" customWidth="1"/>
    <col min="14" max="14" width="8.88671875" style="2"/>
    <col min="15" max="15" width="9" style="2" bestFit="1" customWidth="1"/>
    <col min="16" max="16" width="8.88671875" style="2"/>
    <col min="17" max="17" width="9" style="2" bestFit="1" customWidth="1"/>
    <col min="18" max="20" width="8.88671875" style="2"/>
    <col min="21" max="21" width="10" style="2" bestFit="1" customWidth="1"/>
    <col min="22" max="22" width="8.88671875" style="2"/>
    <col min="23" max="23" width="9" style="2" bestFit="1" customWidth="1"/>
    <col min="24" max="24" width="8.88671875" style="2"/>
    <col min="25" max="25" width="10.5546875" style="2" customWidth="1"/>
    <col min="26" max="26" width="8.88671875" style="2"/>
    <col min="27" max="27" width="9" style="2" bestFit="1" customWidth="1"/>
    <col min="28" max="28" width="8.88671875" style="2"/>
    <col min="29" max="29" width="9" style="2" bestFit="1" customWidth="1"/>
    <col min="30" max="30" width="8.88671875" style="2"/>
    <col min="31" max="31" width="9" style="2" bestFit="1" customWidth="1"/>
    <col min="32" max="16384" width="8.88671875" style="2"/>
  </cols>
  <sheetData>
    <row r="1" spans="1:7" x14ac:dyDescent="0.35">
      <c r="A1" s="1" t="s">
        <v>13</v>
      </c>
    </row>
    <row r="3" spans="1:7" x14ac:dyDescent="0.35">
      <c r="A3" s="1" t="s">
        <v>14</v>
      </c>
      <c r="G3" s="1"/>
    </row>
    <row r="4" spans="1:7" ht="18.600000000000001" thickBot="1" x14ac:dyDescent="0.4"/>
    <row r="5" spans="1:7" ht="19.2" thickTop="1" thickBot="1" x14ac:dyDescent="0.4">
      <c r="A5" s="3" t="s">
        <v>0</v>
      </c>
      <c r="B5" s="3" t="s">
        <v>1</v>
      </c>
      <c r="C5" s="3" t="s">
        <v>2</v>
      </c>
    </row>
    <row r="6" spans="1:7" ht="18.600000000000001" thickTop="1" x14ac:dyDescent="0.35">
      <c r="A6" s="4" t="s">
        <v>9</v>
      </c>
      <c r="B6" s="5">
        <v>5</v>
      </c>
      <c r="C6" s="6" t="s">
        <v>3</v>
      </c>
    </row>
    <row r="7" spans="1:7" x14ac:dyDescent="0.35">
      <c r="A7" s="7" t="s">
        <v>15</v>
      </c>
      <c r="B7" s="8">
        <v>0</v>
      </c>
      <c r="C7" s="9" t="s">
        <v>3</v>
      </c>
    </row>
    <row r="8" spans="1:7" x14ac:dyDescent="0.35">
      <c r="A8" s="7" t="s">
        <v>16</v>
      </c>
      <c r="B8" s="8">
        <v>3.5</v>
      </c>
      <c r="C8" s="9" t="s">
        <v>3</v>
      </c>
    </row>
    <row r="9" spans="1:7" x14ac:dyDescent="0.35">
      <c r="A9" s="7" t="s">
        <v>17</v>
      </c>
      <c r="B9" s="8">
        <v>0.5</v>
      </c>
      <c r="C9" s="9" t="s">
        <v>10</v>
      </c>
    </row>
    <row r="10" spans="1:7" x14ac:dyDescent="0.35">
      <c r="A10" s="7" t="s">
        <v>11</v>
      </c>
      <c r="B10" s="8">
        <v>1.75</v>
      </c>
      <c r="C10" s="9" t="s">
        <v>4</v>
      </c>
    </row>
    <row r="11" spans="1:7" x14ac:dyDescent="0.35">
      <c r="A11" s="7" t="s">
        <v>12</v>
      </c>
      <c r="B11" s="10">
        <v>0</v>
      </c>
      <c r="C11" s="11" t="s">
        <v>4</v>
      </c>
    </row>
    <row r="12" spans="1:7" ht="18.600000000000001" thickBot="1" x14ac:dyDescent="0.4">
      <c r="A12" s="12" t="s">
        <v>18</v>
      </c>
      <c r="B12" s="13">
        <v>5</v>
      </c>
      <c r="C12" s="14" t="s">
        <v>19</v>
      </c>
    </row>
    <row r="13" spans="1:7" ht="18.600000000000001" thickTop="1" x14ac:dyDescent="0.35"/>
    <row r="18" spans="1:9" x14ac:dyDescent="0.35">
      <c r="A18" s="1" t="s">
        <v>26</v>
      </c>
    </row>
    <row r="19" spans="1:9" ht="18.600000000000001" thickBot="1" x14ac:dyDescent="0.4"/>
    <row r="20" spans="1:9" ht="19.2" thickTop="1" thickBot="1" x14ac:dyDescent="0.4">
      <c r="A20" s="3" t="s">
        <v>0</v>
      </c>
      <c r="B20" s="3" t="s">
        <v>1</v>
      </c>
      <c r="C20" s="3" t="s">
        <v>5</v>
      </c>
    </row>
    <row r="21" spans="1:9" ht="18.600000000000001" thickTop="1" x14ac:dyDescent="0.35">
      <c r="A21" s="15" t="s">
        <v>20</v>
      </c>
      <c r="B21" s="16" t="s">
        <v>61</v>
      </c>
      <c r="C21" s="17"/>
    </row>
    <row r="22" spans="1:9" ht="18.600000000000001" thickBot="1" x14ac:dyDescent="0.4">
      <c r="A22" s="18" t="s">
        <v>22</v>
      </c>
      <c r="B22" s="13">
        <v>5</v>
      </c>
      <c r="C22" s="19" t="s">
        <v>3</v>
      </c>
    </row>
    <row r="23" spans="1:9" ht="19.2" thickTop="1" thickBot="1" x14ac:dyDescent="0.4">
      <c r="A23" s="18" t="s">
        <v>23</v>
      </c>
      <c r="B23" s="13">
        <f>B6-(B27*0.6)</f>
        <v>4.7</v>
      </c>
      <c r="C23" s="20" t="s">
        <v>3</v>
      </c>
    </row>
    <row r="24" spans="1:9" ht="19.2" thickTop="1" thickBot="1" x14ac:dyDescent="0.4">
      <c r="A24" s="21" t="s">
        <v>43</v>
      </c>
      <c r="B24" s="13">
        <f>5</f>
        <v>5</v>
      </c>
      <c r="C24" s="20" t="s">
        <v>3</v>
      </c>
      <c r="H24" s="22"/>
      <c r="I24" s="23"/>
    </row>
    <row r="25" spans="1:9" ht="19.2" thickTop="1" thickBot="1" x14ac:dyDescent="0.4">
      <c r="A25" s="12" t="s">
        <v>24</v>
      </c>
      <c r="B25" s="13">
        <v>2.5</v>
      </c>
      <c r="C25" s="24" t="s">
        <v>3</v>
      </c>
    </row>
    <row r="26" spans="1:9" ht="19.2" thickTop="1" thickBot="1" x14ac:dyDescent="0.4">
      <c r="A26" s="12" t="s">
        <v>25</v>
      </c>
      <c r="B26" s="13">
        <v>3.5</v>
      </c>
      <c r="C26" s="20" t="s">
        <v>3</v>
      </c>
    </row>
    <row r="27" spans="1:9" ht="19.2" thickTop="1" thickBot="1" x14ac:dyDescent="0.4">
      <c r="A27" s="25" t="s">
        <v>21</v>
      </c>
      <c r="B27" s="13">
        <v>0.5</v>
      </c>
      <c r="C27" s="26" t="s">
        <v>10</v>
      </c>
    </row>
    <row r="28" spans="1:9" ht="19.2" thickTop="1" thickBot="1" x14ac:dyDescent="0.4">
      <c r="A28" s="21" t="s">
        <v>27</v>
      </c>
      <c r="B28" s="13">
        <f>ABS((B23-B25)*B27)</f>
        <v>1.1000000000000001</v>
      </c>
      <c r="C28" s="27" t="s">
        <v>4</v>
      </c>
    </row>
    <row r="29" spans="1:9" ht="19.2" thickTop="1" thickBot="1" x14ac:dyDescent="0.4">
      <c r="A29" s="21" t="s">
        <v>28</v>
      </c>
      <c r="B29" s="13">
        <f>ABS((B23-B26)*B27)</f>
        <v>0.60000000000000009</v>
      </c>
      <c r="C29" s="20" t="s">
        <v>4</v>
      </c>
    </row>
    <row r="30" spans="1:9" ht="18.600000000000001" thickTop="1" x14ac:dyDescent="0.35"/>
    <row r="35" spans="1:4" x14ac:dyDescent="0.35">
      <c r="A35" s="1" t="s">
        <v>29</v>
      </c>
    </row>
    <row r="36" spans="1:4" ht="18.600000000000001" thickBot="1" x14ac:dyDescent="0.4"/>
    <row r="37" spans="1:4" ht="19.2" thickTop="1" thickBot="1" x14ac:dyDescent="0.4">
      <c r="A37" s="3" t="s">
        <v>0</v>
      </c>
      <c r="B37" s="3" t="s">
        <v>1</v>
      </c>
      <c r="C37" s="3" t="s">
        <v>5</v>
      </c>
    </row>
    <row r="38" spans="1:4" ht="18.600000000000001" thickTop="1" x14ac:dyDescent="0.35">
      <c r="A38" s="15" t="s">
        <v>33</v>
      </c>
      <c r="B38" s="16" t="s">
        <v>62</v>
      </c>
      <c r="C38" s="17"/>
    </row>
    <row r="39" spans="1:4" ht="18.600000000000001" thickBot="1" x14ac:dyDescent="0.4">
      <c r="A39" s="18" t="s">
        <v>30</v>
      </c>
      <c r="B39" s="13">
        <v>5</v>
      </c>
      <c r="C39" s="19" t="s">
        <v>3</v>
      </c>
    </row>
    <row r="40" spans="1:4" ht="19.2" thickTop="1" thickBot="1" x14ac:dyDescent="0.4">
      <c r="A40" s="18" t="s">
        <v>8</v>
      </c>
      <c r="B40" s="13">
        <v>1.75</v>
      </c>
      <c r="C40" s="20" t="s">
        <v>3</v>
      </c>
    </row>
    <row r="41" spans="1:4" ht="19.2" thickTop="1" thickBot="1" x14ac:dyDescent="0.4">
      <c r="A41" s="21" t="s">
        <v>44</v>
      </c>
      <c r="B41" s="13">
        <v>3.5</v>
      </c>
      <c r="C41" s="20" t="s">
        <v>3</v>
      </c>
      <c r="D41" s="2" t="s">
        <v>63</v>
      </c>
    </row>
    <row r="42" spans="1:4" ht="19.2" thickTop="1" thickBot="1" x14ac:dyDescent="0.4">
      <c r="A42" s="12" t="s">
        <v>31</v>
      </c>
      <c r="B42" s="13">
        <v>1.25</v>
      </c>
      <c r="C42" s="24" t="s">
        <v>3</v>
      </c>
    </row>
    <row r="43" spans="1:4" ht="19.2" thickTop="1" thickBot="1" x14ac:dyDescent="0.4">
      <c r="A43" s="12" t="s">
        <v>32</v>
      </c>
      <c r="B43" s="13">
        <v>1.75</v>
      </c>
      <c r="C43" s="20" t="s">
        <v>3</v>
      </c>
    </row>
    <row r="44" spans="1:4" ht="18.600000000000001" thickTop="1" x14ac:dyDescent="0.35"/>
    <row r="49" spans="1:32" x14ac:dyDescent="0.35">
      <c r="A49" s="1" t="s">
        <v>34</v>
      </c>
    </row>
    <row r="50" spans="1:32" ht="18.600000000000001" thickBot="1" x14ac:dyDescent="0.4"/>
    <row r="51" spans="1:32" ht="19.2" thickTop="1" thickBot="1" x14ac:dyDescent="0.4">
      <c r="A51" s="3" t="s">
        <v>0</v>
      </c>
      <c r="B51" s="3" t="s">
        <v>1</v>
      </c>
      <c r="C51" s="3" t="s">
        <v>5</v>
      </c>
    </row>
    <row r="52" spans="1:32" ht="18.600000000000001" thickTop="1" x14ac:dyDescent="0.35">
      <c r="A52" s="15" t="s">
        <v>35</v>
      </c>
      <c r="B52" s="16" t="s">
        <v>36</v>
      </c>
      <c r="C52" s="17"/>
    </row>
    <row r="53" spans="1:32" ht="18.600000000000001" thickBot="1" x14ac:dyDescent="0.4">
      <c r="A53" s="18" t="s">
        <v>37</v>
      </c>
      <c r="B53" s="13">
        <f>B6</f>
        <v>5</v>
      </c>
      <c r="C53" s="19" t="s">
        <v>3</v>
      </c>
    </row>
    <row r="54" spans="1:32" ht="19.2" thickTop="1" thickBot="1" x14ac:dyDescent="0.4">
      <c r="A54" s="18" t="s">
        <v>42</v>
      </c>
      <c r="B54" s="13">
        <v>0.3</v>
      </c>
      <c r="C54" s="20" t="s">
        <v>3</v>
      </c>
    </row>
    <row r="55" spans="1:32" ht="19.2" thickTop="1" thickBot="1" x14ac:dyDescent="0.4">
      <c r="A55" s="18" t="s">
        <v>38</v>
      </c>
      <c r="B55" s="13">
        <f>ABS(B6-(B56*B27))</f>
        <v>4.7</v>
      </c>
      <c r="C55" s="20" t="s">
        <v>3</v>
      </c>
    </row>
    <row r="56" spans="1:32" ht="19.2" thickTop="1" thickBot="1" x14ac:dyDescent="0.4">
      <c r="A56" s="21" t="s">
        <v>39</v>
      </c>
      <c r="B56" s="13">
        <v>0.6</v>
      </c>
      <c r="C56" s="20" t="s">
        <v>40</v>
      </c>
    </row>
    <row r="57" spans="1:32" ht="19.2" thickTop="1" thickBot="1" x14ac:dyDescent="0.4">
      <c r="A57" s="12" t="s">
        <v>41</v>
      </c>
      <c r="B57" s="13">
        <v>0.5</v>
      </c>
      <c r="C57" s="24" t="s">
        <v>10</v>
      </c>
    </row>
    <row r="58" spans="1:32" ht="18.600000000000001" thickTop="1" x14ac:dyDescent="0.35"/>
    <row r="61" spans="1:32" x14ac:dyDescent="0.35">
      <c r="F61" s="1" t="s">
        <v>6</v>
      </c>
      <c r="T61" s="1" t="s">
        <v>51</v>
      </c>
    </row>
    <row r="62" spans="1:32" ht="18.600000000000001" thickBot="1" x14ac:dyDescent="0.4"/>
    <row r="63" spans="1:32" ht="19.2" thickTop="1" thickBot="1" x14ac:dyDescent="0.4">
      <c r="F63" s="3" t="s">
        <v>0</v>
      </c>
      <c r="G63" s="3" t="s">
        <v>1</v>
      </c>
      <c r="H63" s="3" t="s">
        <v>5</v>
      </c>
      <c r="I63" s="3" t="s">
        <v>1</v>
      </c>
      <c r="J63" s="3" t="s">
        <v>5</v>
      </c>
      <c r="K63" s="3" t="s">
        <v>1</v>
      </c>
      <c r="L63" s="3" t="s">
        <v>5</v>
      </c>
      <c r="M63" s="3" t="s">
        <v>1</v>
      </c>
      <c r="N63" s="3" t="s">
        <v>5</v>
      </c>
      <c r="O63" s="3" t="s">
        <v>1</v>
      </c>
      <c r="P63" s="3" t="s">
        <v>5</v>
      </c>
      <c r="Q63" s="3" t="s">
        <v>1</v>
      </c>
      <c r="R63" s="3" t="s">
        <v>5</v>
      </c>
      <c r="T63" s="3" t="s">
        <v>0</v>
      </c>
      <c r="U63" s="3" t="s">
        <v>1</v>
      </c>
      <c r="V63" s="3" t="s">
        <v>5</v>
      </c>
      <c r="W63" s="3" t="s">
        <v>1</v>
      </c>
      <c r="X63" s="3" t="s">
        <v>5</v>
      </c>
      <c r="Y63" s="3" t="s">
        <v>1</v>
      </c>
      <c r="Z63" s="3" t="s">
        <v>5</v>
      </c>
      <c r="AA63" s="3" t="s">
        <v>1</v>
      </c>
      <c r="AB63" s="3" t="s">
        <v>5</v>
      </c>
      <c r="AC63" s="3" t="s">
        <v>1</v>
      </c>
      <c r="AD63" s="3" t="s">
        <v>5</v>
      </c>
      <c r="AE63" s="3" t="s">
        <v>1</v>
      </c>
      <c r="AF63" s="3" t="s">
        <v>5</v>
      </c>
    </row>
    <row r="64" spans="1:32" ht="19.2" thickTop="1" thickBot="1" x14ac:dyDescent="0.4">
      <c r="A64" s="28" t="s">
        <v>52</v>
      </c>
      <c r="B64" s="29"/>
      <c r="C64" s="29"/>
      <c r="D64" s="30"/>
      <c r="F64" s="4" t="s">
        <v>9</v>
      </c>
      <c r="G64" s="31">
        <v>5</v>
      </c>
      <c r="H64" s="32" t="s">
        <v>3</v>
      </c>
      <c r="I64" s="31">
        <v>5</v>
      </c>
      <c r="J64" s="32" t="s">
        <v>3</v>
      </c>
      <c r="K64" s="33">
        <v>5</v>
      </c>
      <c r="L64" s="32" t="s">
        <v>3</v>
      </c>
      <c r="M64" s="31">
        <v>5</v>
      </c>
      <c r="N64" s="32" t="s">
        <v>3</v>
      </c>
      <c r="O64" s="31">
        <v>5</v>
      </c>
      <c r="P64" s="34" t="s">
        <v>3</v>
      </c>
      <c r="Q64" s="31">
        <v>5</v>
      </c>
      <c r="R64" s="34" t="s">
        <v>3</v>
      </c>
      <c r="T64" s="4" t="s">
        <v>9</v>
      </c>
      <c r="U64" s="31">
        <v>5</v>
      </c>
      <c r="V64" s="32" t="s">
        <v>3</v>
      </c>
      <c r="W64" s="31">
        <v>5</v>
      </c>
      <c r="X64" s="32" t="s">
        <v>3</v>
      </c>
      <c r="Y64" s="33">
        <v>5</v>
      </c>
      <c r="Z64" s="32" t="s">
        <v>3</v>
      </c>
      <c r="AA64" s="31">
        <v>5</v>
      </c>
      <c r="AB64" s="32" t="s">
        <v>3</v>
      </c>
      <c r="AC64" s="31">
        <v>5</v>
      </c>
      <c r="AD64" s="34" t="s">
        <v>3</v>
      </c>
      <c r="AE64" s="31">
        <v>5</v>
      </c>
      <c r="AF64" s="34" t="s">
        <v>3</v>
      </c>
    </row>
    <row r="65" spans="1:32" ht="18.600000000000001" thickTop="1" x14ac:dyDescent="0.35">
      <c r="A65" s="35" t="s">
        <v>53</v>
      </c>
      <c r="B65" s="36"/>
      <c r="C65" s="36"/>
      <c r="D65" s="37"/>
      <c r="F65" s="38" t="s">
        <v>7</v>
      </c>
      <c r="G65" s="39">
        <f>G66*G67</f>
        <v>3.5000000000000004</v>
      </c>
      <c r="H65" s="32" t="s">
        <v>3</v>
      </c>
      <c r="I65" s="39">
        <f t="shared" ref="I65:O65" si="0">I66*I67</f>
        <v>3.5000000000000004</v>
      </c>
      <c r="J65" s="32" t="s">
        <v>3</v>
      </c>
      <c r="K65" s="39">
        <f t="shared" si="0"/>
        <v>3.5</v>
      </c>
      <c r="L65" s="32" t="s">
        <v>3</v>
      </c>
      <c r="M65" s="39">
        <f t="shared" si="0"/>
        <v>3.5</v>
      </c>
      <c r="N65" s="32" t="s">
        <v>3</v>
      </c>
      <c r="O65" s="39">
        <f t="shared" si="0"/>
        <v>2.5</v>
      </c>
      <c r="P65" s="32" t="s">
        <v>3</v>
      </c>
      <c r="Q65" s="39">
        <f t="shared" ref="Q65" si="1">Q66*Q67</f>
        <v>0.5</v>
      </c>
      <c r="R65" s="32" t="s">
        <v>3</v>
      </c>
      <c r="T65" s="38" t="s">
        <v>7</v>
      </c>
      <c r="U65" s="39">
        <v>3.5110000000000001</v>
      </c>
      <c r="V65" s="32" t="s">
        <v>3</v>
      </c>
      <c r="W65" s="39">
        <v>3.55</v>
      </c>
      <c r="X65" s="32" t="s">
        <v>3</v>
      </c>
      <c r="Y65" s="39">
        <v>3.54</v>
      </c>
      <c r="Z65" s="32" t="s">
        <v>3</v>
      </c>
      <c r="AA65" s="39">
        <v>3.45</v>
      </c>
      <c r="AB65" s="32" t="s">
        <v>3</v>
      </c>
      <c r="AC65" s="39">
        <v>2.4660000000000002</v>
      </c>
      <c r="AD65" s="32" t="s">
        <v>3</v>
      </c>
      <c r="AE65" s="39">
        <v>0.49399999999999999</v>
      </c>
      <c r="AF65" s="32" t="s">
        <v>3</v>
      </c>
    </row>
    <row r="66" spans="1:32" x14ac:dyDescent="0.35">
      <c r="A66" s="35" t="s">
        <v>60</v>
      </c>
      <c r="B66" s="36"/>
      <c r="C66" s="36"/>
      <c r="D66" s="37"/>
      <c r="F66" s="7" t="s">
        <v>45</v>
      </c>
      <c r="G66" s="40">
        <f>MIN(3.5/G67,0.5)</f>
        <v>3.5000000000000003E-2</v>
      </c>
      <c r="H66" s="41" t="s">
        <v>10</v>
      </c>
      <c r="I66" s="40">
        <f t="shared" ref="I66:Q66" si="2">MIN(3.5/I67,0.5)</f>
        <v>7.0000000000000007E-2</v>
      </c>
      <c r="J66" s="41" t="s">
        <v>10</v>
      </c>
      <c r="K66" s="40">
        <f t="shared" si="2"/>
        <v>0.11666666666666667</v>
      </c>
      <c r="L66" s="41" t="s">
        <v>10</v>
      </c>
      <c r="M66" s="40">
        <f t="shared" si="2"/>
        <v>0.5</v>
      </c>
      <c r="N66" s="41" t="s">
        <v>10</v>
      </c>
      <c r="O66" s="40">
        <f t="shared" si="2"/>
        <v>0.5</v>
      </c>
      <c r="P66" s="41" t="s">
        <v>10</v>
      </c>
      <c r="Q66" s="40">
        <f t="shared" si="2"/>
        <v>0.5</v>
      </c>
      <c r="R66" s="41" t="s">
        <v>10</v>
      </c>
      <c r="T66" s="7" t="s">
        <v>45</v>
      </c>
      <c r="U66" s="40">
        <v>3.5110000000000002E-2</v>
      </c>
      <c r="V66" s="41" t="s">
        <v>10</v>
      </c>
      <c r="W66" s="40">
        <v>6.9599999999999995E-2</v>
      </c>
      <c r="X66" s="41" t="s">
        <v>10</v>
      </c>
      <c r="Y66" s="40">
        <v>0.11700000000000001</v>
      </c>
      <c r="Z66" s="41" t="s">
        <v>10</v>
      </c>
      <c r="AA66" s="40">
        <v>0.49199999999999999</v>
      </c>
      <c r="AB66" s="41" t="s">
        <v>10</v>
      </c>
      <c r="AC66" s="40">
        <v>0.49299999999999999</v>
      </c>
      <c r="AD66" s="41" t="s">
        <v>10</v>
      </c>
      <c r="AE66" s="40">
        <v>0.49399999999999999</v>
      </c>
      <c r="AF66" s="41" t="s">
        <v>10</v>
      </c>
    </row>
    <row r="67" spans="1:32" x14ac:dyDescent="0.35">
      <c r="A67" s="35" t="s">
        <v>54</v>
      </c>
      <c r="B67" s="36"/>
      <c r="C67" s="36"/>
      <c r="D67" s="37"/>
      <c r="F67" s="7" t="s">
        <v>49</v>
      </c>
      <c r="G67" s="40">
        <v>100</v>
      </c>
      <c r="H67" s="42" t="s">
        <v>40</v>
      </c>
      <c r="I67" s="40">
        <v>50</v>
      </c>
      <c r="J67" s="42" t="s">
        <v>40</v>
      </c>
      <c r="K67" s="43">
        <v>30</v>
      </c>
      <c r="L67" s="42" t="s">
        <v>40</v>
      </c>
      <c r="M67" s="40">
        <v>7</v>
      </c>
      <c r="N67" s="42" t="s">
        <v>40</v>
      </c>
      <c r="O67" s="40">
        <v>5</v>
      </c>
      <c r="P67" s="42" t="s">
        <v>40</v>
      </c>
      <c r="Q67" s="40">
        <v>1</v>
      </c>
      <c r="R67" s="42" t="s">
        <v>40</v>
      </c>
      <c r="T67" s="7" t="s">
        <v>49</v>
      </c>
      <c r="U67" s="40">
        <v>100</v>
      </c>
      <c r="V67" s="42" t="s">
        <v>40</v>
      </c>
      <c r="W67" s="40">
        <v>50</v>
      </c>
      <c r="X67" s="42" t="s">
        <v>40</v>
      </c>
      <c r="Y67" s="43">
        <v>30</v>
      </c>
      <c r="Z67" s="42" t="s">
        <v>40</v>
      </c>
      <c r="AA67" s="40">
        <v>7</v>
      </c>
      <c r="AB67" s="42" t="s">
        <v>40</v>
      </c>
      <c r="AC67" s="40">
        <v>5</v>
      </c>
      <c r="AD67" s="42" t="s">
        <v>40</v>
      </c>
      <c r="AE67" s="40">
        <v>1</v>
      </c>
      <c r="AF67" s="42" t="s">
        <v>40</v>
      </c>
    </row>
    <row r="68" spans="1:32" ht="18.600000000000001" thickBot="1" x14ac:dyDescent="0.4">
      <c r="A68" s="35" t="s">
        <v>55</v>
      </c>
      <c r="B68" s="36"/>
      <c r="C68" s="36"/>
      <c r="D68" s="37"/>
      <c r="F68" s="7" t="s">
        <v>8</v>
      </c>
      <c r="G68" s="40">
        <v>1.75</v>
      </c>
      <c r="H68" s="44" t="s">
        <v>3</v>
      </c>
      <c r="I68" s="40">
        <v>1.75</v>
      </c>
      <c r="J68" s="44" t="s">
        <v>3</v>
      </c>
      <c r="K68" s="43">
        <v>1.75</v>
      </c>
      <c r="L68" s="44" t="s">
        <v>3</v>
      </c>
      <c r="M68" s="40">
        <v>1.75</v>
      </c>
      <c r="N68" s="44" t="s">
        <v>3</v>
      </c>
      <c r="O68" s="40">
        <v>1.75</v>
      </c>
      <c r="P68" s="44" t="s">
        <v>3</v>
      </c>
      <c r="Q68" s="40">
        <v>1.75</v>
      </c>
      <c r="R68" s="44" t="s">
        <v>3</v>
      </c>
      <c r="T68" s="7" t="s">
        <v>8</v>
      </c>
      <c r="U68" s="40">
        <v>1.7549999999999999</v>
      </c>
      <c r="V68" s="44" t="s">
        <v>3</v>
      </c>
      <c r="W68" s="40">
        <v>1.7549999999999999</v>
      </c>
      <c r="X68" s="44" t="s">
        <v>3</v>
      </c>
      <c r="Y68" s="43">
        <v>1.7549999999999999</v>
      </c>
      <c r="Z68" s="44" t="s">
        <v>3</v>
      </c>
      <c r="AA68" s="40">
        <v>1.7549999999999999</v>
      </c>
      <c r="AB68" s="44" t="s">
        <v>3</v>
      </c>
      <c r="AC68" s="40">
        <v>1.7549999999999999</v>
      </c>
      <c r="AD68" s="44" t="s">
        <v>3</v>
      </c>
      <c r="AE68" s="40">
        <v>1.7549999999999999</v>
      </c>
      <c r="AF68" s="44" t="s">
        <v>3</v>
      </c>
    </row>
    <row r="69" spans="1:32" ht="19.2" thickTop="1" thickBot="1" x14ac:dyDescent="0.4">
      <c r="A69" s="35" t="s">
        <v>56</v>
      </c>
      <c r="B69" s="36"/>
      <c r="C69" s="36"/>
      <c r="D69" s="37"/>
      <c r="F69" s="7" t="s">
        <v>46</v>
      </c>
      <c r="G69" s="40">
        <f>G65/2</f>
        <v>1.7500000000000002</v>
      </c>
      <c r="H69" s="32" t="s">
        <v>3</v>
      </c>
      <c r="I69" s="40">
        <f t="shared" ref="I69:O69" si="3">I65/2</f>
        <v>1.7500000000000002</v>
      </c>
      <c r="J69" s="32" t="s">
        <v>3</v>
      </c>
      <c r="K69" s="40">
        <f t="shared" si="3"/>
        <v>1.75</v>
      </c>
      <c r="L69" s="32" t="s">
        <v>3</v>
      </c>
      <c r="M69" s="40">
        <f t="shared" si="3"/>
        <v>1.75</v>
      </c>
      <c r="N69" s="32" t="s">
        <v>3</v>
      </c>
      <c r="O69" s="40">
        <f t="shared" si="3"/>
        <v>1.25</v>
      </c>
      <c r="P69" s="32" t="s">
        <v>3</v>
      </c>
      <c r="Q69" s="40">
        <f t="shared" ref="Q69" si="4">Q65/2</f>
        <v>0.25</v>
      </c>
      <c r="R69" s="32" t="s">
        <v>3</v>
      </c>
      <c r="T69" s="7" t="s">
        <v>46</v>
      </c>
      <c r="U69" s="40">
        <v>1.7549999999999999</v>
      </c>
      <c r="V69" s="32" t="s">
        <v>3</v>
      </c>
      <c r="W69" s="40">
        <v>1.7549999999999999</v>
      </c>
      <c r="X69" s="32" t="s">
        <v>3</v>
      </c>
      <c r="Y69" s="40">
        <v>1.7749999999999999</v>
      </c>
      <c r="Z69" s="32" t="s">
        <v>3</v>
      </c>
      <c r="AA69" s="40">
        <v>1.7250000000000001</v>
      </c>
      <c r="AB69" s="32" t="s">
        <v>3</v>
      </c>
      <c r="AC69" s="40">
        <v>1.2330000000000001</v>
      </c>
      <c r="AD69" s="32" t="s">
        <v>3</v>
      </c>
      <c r="AE69" s="40">
        <v>0.247</v>
      </c>
      <c r="AF69" s="32" t="s">
        <v>3</v>
      </c>
    </row>
    <row r="70" spans="1:32" ht="19.2" thickTop="1" thickBot="1" x14ac:dyDescent="0.4">
      <c r="A70" s="35" t="s">
        <v>57</v>
      </c>
      <c r="B70" s="36"/>
      <c r="C70" s="36"/>
      <c r="D70" s="37"/>
      <c r="F70" s="7" t="s">
        <v>50</v>
      </c>
      <c r="G70" s="40">
        <f>G65-G64+G72</f>
        <v>-1.4789999999999996</v>
      </c>
      <c r="H70" s="32" t="s">
        <v>3</v>
      </c>
      <c r="I70" s="40">
        <f>I65-I64+I72</f>
        <v>-1.4579999999999995</v>
      </c>
      <c r="J70" s="32" t="s">
        <v>3</v>
      </c>
      <c r="K70" s="40">
        <f>K65-K64+K72</f>
        <v>-1.43</v>
      </c>
      <c r="L70" s="32" t="s">
        <v>3</v>
      </c>
      <c r="M70" s="40">
        <f>M65-M64+M72</f>
        <v>-1.2</v>
      </c>
      <c r="N70" s="32" t="s">
        <v>3</v>
      </c>
      <c r="O70" s="40">
        <f>O65-O64+O72</f>
        <v>-2.2000000000000002</v>
      </c>
      <c r="P70" s="32" t="s">
        <v>3</v>
      </c>
      <c r="Q70" s="40">
        <f>Q65-Q64+Q72</f>
        <v>-4.2</v>
      </c>
      <c r="R70" s="32" t="s">
        <v>3</v>
      </c>
      <c r="T70" s="7" t="s">
        <v>50</v>
      </c>
      <c r="U70" s="40">
        <v>-1.466</v>
      </c>
      <c r="V70" s="32" t="s">
        <v>3</v>
      </c>
      <c r="W70" s="40">
        <v>-1.44</v>
      </c>
      <c r="X70" s="32" t="s">
        <v>3</v>
      </c>
      <c r="Y70" s="40">
        <v>-1.4179999999999999</v>
      </c>
      <c r="Z70" s="32" t="s">
        <v>3</v>
      </c>
      <c r="AA70" s="40">
        <v>-1.25</v>
      </c>
      <c r="AB70" s="32" t="s">
        <v>3</v>
      </c>
      <c r="AC70" s="40">
        <v>-2.23</v>
      </c>
      <c r="AD70" s="32" t="s">
        <v>3</v>
      </c>
      <c r="AE70" s="40">
        <v>-4.2</v>
      </c>
      <c r="AF70" s="32" t="s">
        <v>3</v>
      </c>
    </row>
    <row r="71" spans="1:32" ht="19.2" thickTop="1" thickBot="1" x14ac:dyDescent="0.4">
      <c r="A71" s="35" t="s">
        <v>58</v>
      </c>
      <c r="B71" s="36"/>
      <c r="C71" s="36"/>
      <c r="D71" s="37"/>
      <c r="F71" s="45" t="s">
        <v>47</v>
      </c>
      <c r="G71" s="40">
        <f>ABS(G70)*G66</f>
        <v>5.1764999999999992E-2</v>
      </c>
      <c r="H71" s="32" t="s">
        <v>4</v>
      </c>
      <c r="I71" s="40">
        <f>ABS(I70)*I66</f>
        <v>0.10205999999999997</v>
      </c>
      <c r="J71" s="32" t="s">
        <v>4</v>
      </c>
      <c r="K71" s="40">
        <f>ABS(K70)*K66</f>
        <v>0.16683333333333333</v>
      </c>
      <c r="L71" s="32" t="s">
        <v>4</v>
      </c>
      <c r="M71" s="40">
        <f>ABS(M70)*M66</f>
        <v>0.6</v>
      </c>
      <c r="N71" s="32" t="s">
        <v>4</v>
      </c>
      <c r="O71" s="40">
        <f>ABS(O70)*O66</f>
        <v>1.1000000000000001</v>
      </c>
      <c r="P71" s="32" t="s">
        <v>4</v>
      </c>
      <c r="Q71" s="40">
        <f>ABS(Q70)*Q66</f>
        <v>2.1</v>
      </c>
      <c r="R71" s="32" t="s">
        <v>4</v>
      </c>
      <c r="T71" s="45" t="s">
        <v>47</v>
      </c>
      <c r="U71" s="40">
        <f>ABS(U70*U66)</f>
        <v>5.1471260000000005E-2</v>
      </c>
      <c r="V71" s="32" t="s">
        <v>4</v>
      </c>
      <c r="W71" s="40">
        <f t="shared" ref="W71:AE71" si="5">ABS(W70*W66)</f>
        <v>0.10022399999999999</v>
      </c>
      <c r="X71" s="32" t="s">
        <v>4</v>
      </c>
      <c r="Y71" s="40">
        <f t="shared" si="5"/>
        <v>0.165906</v>
      </c>
      <c r="Z71" s="32" t="s">
        <v>4</v>
      </c>
      <c r="AA71" s="40">
        <f t="shared" si="5"/>
        <v>0.61499999999999999</v>
      </c>
      <c r="AB71" s="32" t="s">
        <v>4</v>
      </c>
      <c r="AC71" s="40">
        <f t="shared" si="5"/>
        <v>1.0993899999999999</v>
      </c>
      <c r="AD71" s="32" t="s">
        <v>4</v>
      </c>
      <c r="AE71" s="40">
        <f t="shared" si="5"/>
        <v>2.0748000000000002</v>
      </c>
      <c r="AF71" s="32" t="s">
        <v>4</v>
      </c>
    </row>
    <row r="72" spans="1:32" ht="18.600000000000001" thickTop="1" x14ac:dyDescent="0.35">
      <c r="A72" s="46" t="s">
        <v>59</v>
      </c>
      <c r="B72" s="47"/>
      <c r="C72" s="47"/>
      <c r="D72" s="48"/>
      <c r="F72" s="45" t="s">
        <v>48</v>
      </c>
      <c r="G72" s="40">
        <f>G66*0.6</f>
        <v>2.1000000000000001E-2</v>
      </c>
      <c r="H72" s="32" t="s">
        <v>3</v>
      </c>
      <c r="I72" s="40">
        <f>I66*0.6</f>
        <v>4.2000000000000003E-2</v>
      </c>
      <c r="J72" s="32" t="s">
        <v>3</v>
      </c>
      <c r="K72" s="40">
        <f>K66*0.6</f>
        <v>6.9999999999999993E-2</v>
      </c>
      <c r="L72" s="32" t="s">
        <v>3</v>
      </c>
      <c r="M72" s="40">
        <f>M66*0.6</f>
        <v>0.3</v>
      </c>
      <c r="N72" s="32" t="s">
        <v>3</v>
      </c>
      <c r="O72" s="40">
        <f>O66*0.6</f>
        <v>0.3</v>
      </c>
      <c r="P72" s="32" t="s">
        <v>3</v>
      </c>
      <c r="Q72" s="40">
        <f>Q66*0.6</f>
        <v>0.3</v>
      </c>
      <c r="R72" s="32" t="s">
        <v>3</v>
      </c>
      <c r="T72" s="45" t="s">
        <v>48</v>
      </c>
      <c r="U72" s="40">
        <f>0.6*U66</f>
        <v>2.1066000000000001E-2</v>
      </c>
      <c r="V72" s="32" t="s">
        <v>3</v>
      </c>
      <c r="W72" s="40">
        <f>0.6*W66</f>
        <v>4.1759999999999999E-2</v>
      </c>
      <c r="X72" s="32" t="s">
        <v>3</v>
      </c>
      <c r="Y72" s="40">
        <f>0.6*Y66</f>
        <v>7.0199999999999999E-2</v>
      </c>
      <c r="Z72" s="32" t="s">
        <v>3</v>
      </c>
      <c r="AA72" s="40">
        <f>0.6*AA66</f>
        <v>0.29519999999999996</v>
      </c>
      <c r="AB72" s="32" t="s">
        <v>3</v>
      </c>
      <c r="AC72" s="40">
        <f>0.6*AC66</f>
        <v>0.29580000000000001</v>
      </c>
      <c r="AD72" s="32" t="s">
        <v>3</v>
      </c>
      <c r="AE72" s="40">
        <f>0.6*AE66</f>
        <v>0.2964</v>
      </c>
      <c r="AF72" s="32" t="s">
        <v>3</v>
      </c>
    </row>
  </sheetData>
  <pageMargins left="0.7" right="0.7" top="0.75" bottom="0.75" header="0.3" footer="0.3"/>
  <pageSetup paperSize="9" scale="34" orientation="landscape" r:id="rId1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Duleepa Thrimawithana</dc:creator>
  <cp:lastModifiedBy>Kyle Premadasa</cp:lastModifiedBy>
  <cp:lastPrinted>2026-08-31T02:23:34Z</cp:lastPrinted>
  <dcterms:created xsi:type="dcterms:W3CDTF">2025-12-20T08:56:10Z</dcterms:created>
  <dcterms:modified xsi:type="dcterms:W3CDTF">2026-09-29T23:46:03Z</dcterms:modified>
</cp:coreProperties>
</file>