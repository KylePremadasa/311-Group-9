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alexanderward/Downloads/"/>
    </mc:Choice>
  </mc:AlternateContent>
  <xr:revisionPtr revIDLastSave="0" documentId="13_ncr:1_{778E92C1-147B-204E-8950-B616CDFB351B}" xr6:coauthVersionLast="47" xr6:coauthVersionMax="47" xr10:uidLastSave="{00000000-0000-0000-0000-000000000000}"/>
  <bookViews>
    <workbookView xWindow="0" yWindow="500" windowWidth="33600" windowHeight="19360" tabRatio="500" xr2:uid="{00000000-000D-0000-FFFF-FFFF00000000}"/>
  </bookViews>
  <sheets>
    <sheet name="Measure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0" i="1" l="1"/>
  <c r="R8" i="1"/>
  <c r="R9" i="1"/>
  <c r="R10" i="1"/>
  <c r="R11" i="1"/>
  <c r="R12" i="1"/>
  <c r="R13" i="1"/>
  <c r="R14" i="1"/>
  <c r="R15" i="1"/>
  <c r="R16" i="1"/>
  <c r="R17" i="1"/>
  <c r="R18" i="1"/>
  <c r="R19" i="1"/>
  <c r="R7" i="1"/>
  <c r="U8" i="1"/>
  <c r="V8" i="1" s="1"/>
  <c r="U9" i="1"/>
  <c r="V9" i="1" s="1"/>
  <c r="U10" i="1"/>
  <c r="V10" i="1" s="1"/>
  <c r="U11" i="1"/>
  <c r="V11" i="1" s="1"/>
  <c r="U12" i="1"/>
  <c r="V12" i="1" s="1"/>
  <c r="U13" i="1"/>
  <c r="V13" i="1" s="1"/>
  <c r="U14" i="1"/>
  <c r="V14" i="1" s="1"/>
  <c r="U15" i="1"/>
  <c r="V15" i="1" s="1"/>
  <c r="U16" i="1"/>
  <c r="V16" i="1" s="1"/>
  <c r="U17" i="1"/>
  <c r="V17" i="1" s="1"/>
  <c r="U18" i="1"/>
  <c r="V18" i="1" s="1"/>
  <c r="U19" i="1"/>
  <c r="V19" i="1" s="1"/>
  <c r="U20" i="1"/>
  <c r="V20" i="1" s="1"/>
  <c r="U7" i="1"/>
  <c r="V7" i="1" s="1"/>
  <c r="S20" i="1"/>
  <c r="O20" i="1"/>
  <c r="N20" i="1"/>
  <c r="S19" i="1"/>
  <c r="O19" i="1"/>
  <c r="N19" i="1"/>
  <c r="S18" i="1"/>
  <c r="O18" i="1"/>
  <c r="N18" i="1"/>
  <c r="S17" i="1"/>
  <c r="O17" i="1"/>
  <c r="N17" i="1"/>
  <c r="S16" i="1"/>
  <c r="O16" i="1"/>
  <c r="N16" i="1"/>
  <c r="S15" i="1"/>
  <c r="O15" i="1"/>
  <c r="N15" i="1"/>
  <c r="S14" i="1"/>
  <c r="O14" i="1"/>
  <c r="N14" i="1"/>
  <c r="S13" i="1"/>
  <c r="O13" i="1"/>
  <c r="N13" i="1"/>
  <c r="S12" i="1"/>
  <c r="O12" i="1"/>
  <c r="N12" i="1"/>
  <c r="S11" i="1"/>
  <c r="O11" i="1"/>
  <c r="N11" i="1"/>
  <c r="S10" i="1"/>
  <c r="O10" i="1"/>
  <c r="N10" i="1"/>
  <c r="S9" i="1"/>
  <c r="O9" i="1"/>
  <c r="N9" i="1"/>
  <c r="S8" i="1"/>
  <c r="O8" i="1"/>
  <c r="N8" i="1"/>
  <c r="S7" i="1"/>
  <c r="O7" i="1"/>
  <c r="N7" i="1"/>
  <c r="Q20" i="1" l="1"/>
  <c r="P19" i="1"/>
  <c r="P11" i="1"/>
  <c r="P7" i="1"/>
  <c r="Q8" i="1"/>
  <c r="Q13" i="1"/>
  <c r="P9" i="1"/>
  <c r="P17" i="1"/>
  <c r="P10" i="1"/>
  <c r="P18" i="1"/>
  <c r="Q12" i="1"/>
  <c r="P15" i="1"/>
  <c r="Q16" i="1"/>
  <c r="Q11" i="1"/>
  <c r="Q19" i="1"/>
  <c r="P12" i="1"/>
  <c r="P20" i="1"/>
  <c r="Q10" i="1"/>
  <c r="Q18" i="1"/>
  <c r="Q7" i="1"/>
  <c r="P14" i="1"/>
  <c r="Q15" i="1"/>
  <c r="P8" i="1"/>
  <c r="Q9" i="1"/>
  <c r="P16" i="1"/>
  <c r="Q17" i="1"/>
  <c r="P13" i="1"/>
  <c r="Q14" i="1"/>
</calcChain>
</file>

<file path=xl/sharedStrings.xml><?xml version="1.0" encoding="utf-8"?>
<sst xmlns="http://schemas.openxmlformats.org/spreadsheetml/2006/main" count="36" uniqueCount="30">
  <si>
    <t>Boost converter measurements - UC3843 with ATmega328P PI controller</t>
  </si>
  <si>
    <t>Set points</t>
  </si>
  <si>
    <t>Measured (fill in)</t>
  </si>
  <si>
    <t>Calculated</t>
  </si>
  <si>
    <t>Test #</t>
  </si>
  <si>
    <t>Vin supply set (V)</t>
  </si>
  <si>
    <t>Load R set (Ω)</t>
  </si>
  <si>
    <t>Vbat at converter terminals (V)</t>
  </si>
  <si>
    <t>Iin from supply (A)</t>
  </si>
  <si>
    <t>Vout at output cap (V)</t>
  </si>
  <si>
    <t>Iout, electronic load (A)</t>
  </si>
  <si>
    <t>Pin (W)</t>
  </si>
  <si>
    <t>Pout (W)</t>
  </si>
  <si>
    <t>Efficiency (%)</t>
  </si>
  <si>
    <t>Ploss (W)</t>
  </si>
  <si>
    <t>R actual Vout/Iout (Ω)</t>
  </si>
  <si>
    <t>MCU_VFB node (V)</t>
  </si>
  <si>
    <t>MCU_VFB expected (V)</t>
  </si>
  <si>
    <t>MCU_VFB error (mV)</t>
  </si>
  <si>
    <t>PWM Frequency (kHz)</t>
  </si>
  <si>
    <t>DMM</t>
  </si>
  <si>
    <t xml:space="preserve">PS </t>
  </si>
  <si>
    <t>Load Display</t>
  </si>
  <si>
    <t>Scope</t>
  </si>
  <si>
    <t>PWM MEAN  (V)</t>
  </si>
  <si>
    <t>PWM Duty Cycle (%)</t>
  </si>
  <si>
    <t>Vin Intended (V)</t>
  </si>
  <si>
    <t>Input Lead drop Vin(Supply) - Vbat (mV)</t>
  </si>
  <si>
    <t>Ripple pk-pk (mV) (Scope)</t>
  </si>
  <si>
    <t>Ripple pk-pk (mV) (Cursor)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</si>
</sst>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%"/>
  </numFmts>
  <fonts count="7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i/>
      <sz val="10"/>
      <color rgb="FF595959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548235"/>
        <bgColor rgb="FF339966"/>
      </patternFill>
    </fill>
    <fill>
      <patternFill patternType="solid">
        <fgColor rgb="FFBF8F00"/>
        <bgColor rgb="FFC55A11"/>
      </patternFill>
    </fill>
    <fill>
      <patternFill patternType="solid">
        <fgColor rgb="FFFFFF99"/>
        <bgColor rgb="FFFFFFFF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medium">
        <color auto="1"/>
      </top>
      <bottom style="thin">
        <color rgb="FF99999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164" fontId="5" fillId="6" borderId="2" xfId="0" applyNumberFormat="1" applyFont="1" applyFill="1" applyBorder="1" applyAlignment="1">
      <alignment horizontal="center" vertical="center"/>
    </xf>
    <xf numFmtId="165" fontId="5" fillId="6" borderId="2" xfId="0" applyNumberFormat="1" applyFont="1" applyFill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0" fontId="6" fillId="0" borderId="0" xfId="0" applyFont="1"/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548235"/>
      <rgbColor rgb="FF800080"/>
      <rgbColor rgb="FF008080"/>
      <rgbColor rgb="FFB3C992"/>
      <rgbColor rgb="FF878787"/>
      <rgbColor rgb="FF9999FF"/>
      <rgbColor rgb="FF7030A0"/>
      <rgbColor rgb="FFE7E6E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87A44B"/>
      <rgbColor rgb="FFFFCC00"/>
      <rgbColor rgb="FFBF8F00"/>
      <rgbColor rgb="FFC55A11"/>
      <rgbColor rgb="FF595959"/>
      <rgbColor rgb="FF999999"/>
      <rgbColor rgb="FF1F3864"/>
      <rgbColor rgb="FF339966"/>
      <rgbColor rgb="FF003300"/>
      <rgbColor rgb="FF333300"/>
      <rgbColor rgb="FF833C0B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30"/>
  <sheetViews>
    <sheetView tabSelected="1" zoomScale="108" zoomScaleNormal="90" workbookViewId="0">
      <pane xSplit="4" ySplit="6" topLeftCell="E7" activePane="bottomRight" state="frozen"/>
      <selection pane="topRight" activeCell="D1" sqref="D1"/>
      <selection pane="bottomLeft" activeCell="A7" sqref="A7"/>
      <selection pane="bottomRight" activeCell="A7" sqref="A7:XFD7"/>
    </sheetView>
  </sheetViews>
  <sheetFormatPr baseColWidth="10" defaultColWidth="8.6640625" defaultRowHeight="15" x14ac:dyDescent="0.2"/>
  <cols>
    <col min="1" max="1" width="7" customWidth="1"/>
    <col min="2" max="3" width="10.33203125" customWidth="1"/>
    <col min="4" max="4" width="10" customWidth="1"/>
    <col min="5" max="5" width="11.83203125" customWidth="1"/>
    <col min="6" max="6" width="11" customWidth="1"/>
    <col min="7" max="8" width="12" customWidth="1"/>
    <col min="9" max="9" width="9.1640625" customWidth="1"/>
    <col min="10" max="10" width="12" customWidth="1"/>
    <col min="11" max="13" width="11" customWidth="1"/>
    <col min="14" max="14" width="7.33203125" customWidth="1"/>
    <col min="15" max="15" width="6.83203125" customWidth="1"/>
    <col min="16" max="16" width="9" customWidth="1"/>
    <col min="17" max="17" width="7" customWidth="1"/>
    <col min="18" max="18" width="12" customWidth="1"/>
    <col min="19" max="19" width="9.5" customWidth="1"/>
    <col min="20" max="20" width="10" customWidth="1"/>
    <col min="21" max="21" width="10.33203125" customWidth="1"/>
    <col min="22" max="22" width="9.6640625" customWidth="1"/>
  </cols>
  <sheetData>
    <row r="1" spans="1:22" ht="18" x14ac:dyDescent="0.2">
      <c r="A1" s="2" t="s">
        <v>0</v>
      </c>
    </row>
    <row r="2" spans="1:22" x14ac:dyDescent="0.2">
      <c r="A2" s="3"/>
    </row>
    <row r="4" spans="1:22" ht="15" customHeight="1" x14ac:dyDescent="0.2">
      <c r="A4" s="22" t="s">
        <v>1</v>
      </c>
      <c r="B4" s="22"/>
      <c r="C4" s="22"/>
      <c r="D4" s="22"/>
      <c r="E4" s="23" t="s">
        <v>2</v>
      </c>
      <c r="F4" s="23"/>
      <c r="G4" s="23"/>
      <c r="H4" s="23"/>
      <c r="I4" s="23"/>
      <c r="J4" s="23"/>
      <c r="K4" s="23"/>
      <c r="L4" s="23"/>
      <c r="M4" s="1"/>
      <c r="N4" s="24" t="s">
        <v>3</v>
      </c>
      <c r="O4" s="24"/>
      <c r="P4" s="24"/>
      <c r="Q4" s="24"/>
      <c r="R4" s="24"/>
      <c r="S4" s="24"/>
      <c r="T4" s="25" t="s">
        <v>16</v>
      </c>
      <c r="U4" s="25"/>
      <c r="V4" s="25"/>
    </row>
    <row r="5" spans="1:22" ht="54" customHeight="1" x14ac:dyDescent="0.2">
      <c r="A5" s="4" t="s">
        <v>4</v>
      </c>
      <c r="B5" s="4" t="s">
        <v>26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24</v>
      </c>
      <c r="J5" s="4" t="s">
        <v>25</v>
      </c>
      <c r="K5" s="4" t="s">
        <v>19</v>
      </c>
      <c r="L5" s="4" t="s">
        <v>28</v>
      </c>
      <c r="M5" s="4" t="s">
        <v>29</v>
      </c>
      <c r="N5" s="4" t="s">
        <v>11</v>
      </c>
      <c r="O5" s="4" t="s">
        <v>12</v>
      </c>
      <c r="P5" s="4" t="s">
        <v>13</v>
      </c>
      <c r="Q5" s="4" t="s">
        <v>14</v>
      </c>
      <c r="R5" s="4" t="s">
        <v>27</v>
      </c>
      <c r="S5" s="4" t="s">
        <v>15</v>
      </c>
      <c r="T5" s="4" t="s">
        <v>16</v>
      </c>
      <c r="U5" s="4" t="s">
        <v>17</v>
      </c>
      <c r="V5" s="4" t="s">
        <v>18</v>
      </c>
    </row>
    <row r="6" spans="1:22" ht="54" customHeight="1" x14ac:dyDescent="0.2">
      <c r="A6" s="4"/>
      <c r="B6" s="4"/>
      <c r="C6" s="4"/>
      <c r="D6" s="4"/>
      <c r="E6" s="4" t="s">
        <v>20</v>
      </c>
      <c r="F6" s="4" t="s">
        <v>21</v>
      </c>
      <c r="G6" s="4" t="s">
        <v>20</v>
      </c>
      <c r="H6" s="4" t="s">
        <v>22</v>
      </c>
      <c r="I6" s="4" t="s">
        <v>20</v>
      </c>
      <c r="J6" s="4" t="s">
        <v>23</v>
      </c>
      <c r="K6" s="4" t="s">
        <v>23</v>
      </c>
      <c r="L6" s="4" t="s">
        <v>23</v>
      </c>
      <c r="M6" s="4"/>
      <c r="N6" s="4"/>
      <c r="O6" s="4"/>
      <c r="P6" s="4"/>
      <c r="Q6" s="4"/>
      <c r="R6" s="4"/>
      <c r="S6" s="4"/>
      <c r="T6" s="4" t="s">
        <v>20</v>
      </c>
      <c r="U6" s="4"/>
      <c r="V6" s="4"/>
    </row>
    <row r="7" spans="1:22" x14ac:dyDescent="0.2">
      <c r="A7" s="5">
        <v>1</v>
      </c>
      <c r="B7" s="6">
        <v>2.5</v>
      </c>
      <c r="C7" s="6">
        <v>2.84</v>
      </c>
      <c r="D7" s="6">
        <v>4.75</v>
      </c>
      <c r="E7" s="7">
        <v>2.5099999999999998</v>
      </c>
      <c r="F7" s="7">
        <v>2.5539999999999998</v>
      </c>
      <c r="G7" s="7">
        <v>4.97</v>
      </c>
      <c r="H7" s="7">
        <v>1.01</v>
      </c>
      <c r="I7" s="7">
        <v>1.56</v>
      </c>
      <c r="J7" s="7">
        <v>29.4</v>
      </c>
      <c r="K7" s="7">
        <v>15.624000000000001</v>
      </c>
      <c r="L7" s="8">
        <v>540</v>
      </c>
      <c r="M7" s="8">
        <v>285</v>
      </c>
      <c r="N7" s="9">
        <f>IF(OR(E7="",F7=""),"",E7*F7)</f>
        <v>6.4105399999999992</v>
      </c>
      <c r="O7" s="9">
        <f>IF(OR(G7="",H7=""),"",G7*H7)</f>
        <v>5.0196999999999994</v>
      </c>
      <c r="P7" s="10">
        <f t="shared" ref="P7:P20" si="0">IF(OR(N7="",O7=""),"",IF(N7=0,"",O7/N7))</f>
        <v>0.78303855837417757</v>
      </c>
      <c r="Q7" s="9">
        <f t="shared" ref="Q7:Q20" si="1">IF(OR(N7="",O7=""),"",N7-O7)</f>
        <v>1.3908399999999999</v>
      </c>
      <c r="R7" s="11">
        <f>(C7-E7)*1000</f>
        <v>330.00000000000006</v>
      </c>
      <c r="S7" s="12">
        <f>IF(OR(G7="",H7=""),"",IF(H7=0,"",G7/H7))</f>
        <v>4.9207920792079207</v>
      </c>
      <c r="T7" s="7">
        <v>3.9969999999999999</v>
      </c>
      <c r="U7">
        <f>G7*(39/(10+39))</f>
        <v>3.9557142857142855</v>
      </c>
      <c r="V7" s="11">
        <f t="shared" ref="V7:V20" si="2">IF(OR(T7="",U7=""),"",(T7-U7)*1000)</f>
        <v>41.28571428571437</v>
      </c>
    </row>
    <row r="8" spans="1:22" x14ac:dyDescent="0.2">
      <c r="A8" s="5">
        <v>2</v>
      </c>
      <c r="B8" s="6">
        <v>2.5</v>
      </c>
      <c r="C8" s="6">
        <v>2.75</v>
      </c>
      <c r="D8" s="6">
        <v>5</v>
      </c>
      <c r="E8" s="7">
        <v>2.5</v>
      </c>
      <c r="F8" s="7">
        <v>2.4864000000000002</v>
      </c>
      <c r="G8" s="7">
        <v>5.01</v>
      </c>
      <c r="H8" s="7">
        <v>0.95299999999999996</v>
      </c>
      <c r="I8" s="7">
        <v>1.6</v>
      </c>
      <c r="J8" s="7">
        <v>32</v>
      </c>
      <c r="K8" s="7">
        <v>15.624000000000001</v>
      </c>
      <c r="L8" s="8">
        <v>500</v>
      </c>
      <c r="M8" s="8">
        <v>285</v>
      </c>
      <c r="N8" s="9">
        <f>IF(OR(E8="",F8=""),"",E8*F8)</f>
        <v>6.2160000000000002</v>
      </c>
      <c r="O8" s="9">
        <f>IF(OR(G8="",H8=""),"",G8*H8)</f>
        <v>4.7745299999999995</v>
      </c>
      <c r="P8" s="10">
        <f t="shared" si="0"/>
        <v>0.76810328185328169</v>
      </c>
      <c r="Q8" s="9">
        <f t="shared" si="1"/>
        <v>1.4414700000000007</v>
      </c>
      <c r="R8" s="11">
        <f t="shared" ref="R8:R19" si="3">(C8-E8)*1000</f>
        <v>250</v>
      </c>
      <c r="S8" s="12">
        <f>IF(OR(G8="",H8=""),"",IF(H8=0,"",G8/H8))</f>
        <v>5.2570828961175238</v>
      </c>
      <c r="T8" s="7">
        <v>3.9990000000000001</v>
      </c>
      <c r="U8">
        <f t="shared" ref="U8:U20" si="4">G8*(39/(10+39))</f>
        <v>3.987551020408163</v>
      </c>
      <c r="V8" s="11">
        <f t="shared" si="2"/>
        <v>11.448979591837105</v>
      </c>
    </row>
    <row r="9" spans="1:22" x14ac:dyDescent="0.2">
      <c r="A9" s="5">
        <v>3</v>
      </c>
      <c r="B9" s="6">
        <v>2.5</v>
      </c>
      <c r="C9" s="6">
        <v>2.57</v>
      </c>
      <c r="D9" s="6">
        <v>16.25</v>
      </c>
      <c r="E9" s="7">
        <v>2.5070000000000001</v>
      </c>
      <c r="F9" s="7">
        <v>0.70799999999999996</v>
      </c>
      <c r="G9" s="7">
        <v>5.0199999999999996</v>
      </c>
      <c r="H9" s="7">
        <v>0.30299999999999999</v>
      </c>
      <c r="I9" s="7">
        <v>2.62</v>
      </c>
      <c r="J9" s="7">
        <v>52.25</v>
      </c>
      <c r="K9" s="7">
        <v>15.624000000000001</v>
      </c>
      <c r="L9" s="8">
        <v>377</v>
      </c>
      <c r="M9" s="8">
        <v>113.77</v>
      </c>
      <c r="N9" s="9">
        <f>IF(OR(E9="",F9=""),"",E9*F9)</f>
        <v>1.774956</v>
      </c>
      <c r="O9" s="9">
        <f>IF(OR(G9="",H9=""),"",G9*H9)</f>
        <v>1.5210599999999999</v>
      </c>
      <c r="P9" s="10">
        <f t="shared" si="0"/>
        <v>0.85695645413182064</v>
      </c>
      <c r="Q9" s="9">
        <f t="shared" si="1"/>
        <v>0.25389600000000012</v>
      </c>
      <c r="R9" s="11">
        <f t="shared" si="3"/>
        <v>62.999999999999723</v>
      </c>
      <c r="S9" s="12">
        <f>IF(OR(G9="",H9=""),"",IF(H9=0,"",G9/H9))</f>
        <v>16.567656765676567</v>
      </c>
      <c r="T9" s="7">
        <v>3.9940000000000002</v>
      </c>
      <c r="U9">
        <f t="shared" si="4"/>
        <v>3.9955102040816324</v>
      </c>
      <c r="V9" s="11">
        <f t="shared" si="2"/>
        <v>-1.5102040816321605</v>
      </c>
    </row>
    <row r="10" spans="1:22" x14ac:dyDescent="0.2">
      <c r="A10" s="5">
        <v>4</v>
      </c>
      <c r="B10" s="6">
        <v>2.5</v>
      </c>
      <c r="C10" s="6">
        <v>2.54</v>
      </c>
      <c r="D10" s="6">
        <v>27.5</v>
      </c>
      <c r="E10" s="7">
        <v>2.4990000000000001</v>
      </c>
      <c r="F10" s="7">
        <v>0.42</v>
      </c>
      <c r="G10" s="7">
        <v>5.0209999999999999</v>
      </c>
      <c r="H10" s="7">
        <v>0.18</v>
      </c>
      <c r="I10" s="7">
        <v>2.84</v>
      </c>
      <c r="J10" s="7">
        <v>56.35</v>
      </c>
      <c r="K10" s="7">
        <v>15.624000000000001</v>
      </c>
      <c r="L10" s="8">
        <v>482</v>
      </c>
      <c r="M10" s="8">
        <v>79</v>
      </c>
      <c r="N10" s="9">
        <f>IF(OR(E10="",F10=""),"",E10*F10)</f>
        <v>1.04958</v>
      </c>
      <c r="O10" s="9">
        <f>IF(OR(G10="",H10=""),"",G10*H10)</f>
        <v>0.90377999999999992</v>
      </c>
      <c r="P10" s="10">
        <f t="shared" si="0"/>
        <v>0.86108729205968093</v>
      </c>
      <c r="Q10" s="9">
        <f t="shared" si="1"/>
        <v>0.14580000000000004</v>
      </c>
      <c r="R10" s="11">
        <f t="shared" si="3"/>
        <v>40.999999999999929</v>
      </c>
      <c r="S10" s="12">
        <f>IF(OR(G10="",H10=""),"",IF(H10=0,"",G10/H10))</f>
        <v>27.894444444444446</v>
      </c>
      <c r="T10" s="7">
        <v>3.9980000000000002</v>
      </c>
      <c r="U10">
        <f t="shared" si="4"/>
        <v>3.9963061224489795</v>
      </c>
      <c r="V10" s="11">
        <f t="shared" si="2"/>
        <v>1.6938775510206838</v>
      </c>
    </row>
    <row r="11" spans="1:22" x14ac:dyDescent="0.2">
      <c r="A11" s="5">
        <v>5</v>
      </c>
      <c r="B11" s="6">
        <v>2.5</v>
      </c>
      <c r="C11" s="6">
        <v>2.5299999999999998</v>
      </c>
      <c r="D11" s="6">
        <v>38.75</v>
      </c>
      <c r="E11" s="7">
        <v>2.5059999999999998</v>
      </c>
      <c r="F11" s="7">
        <v>0.29499999999999998</v>
      </c>
      <c r="G11" s="7">
        <v>5.0199999999999996</v>
      </c>
      <c r="H11" s="7">
        <v>0.128</v>
      </c>
      <c r="I11" s="7">
        <v>2.95</v>
      </c>
      <c r="J11" s="7">
        <v>58.5</v>
      </c>
      <c r="K11" s="7">
        <v>15.624000000000001</v>
      </c>
      <c r="L11" s="8">
        <v>291</v>
      </c>
      <c r="M11" s="8">
        <v>72</v>
      </c>
      <c r="N11" s="9">
        <f>IF(OR(E11="",F11=""),"",E11*F11)</f>
        <v>0.73926999999999987</v>
      </c>
      <c r="O11" s="9">
        <f>IF(OR(G11="",H11=""),"",G11*H11)</f>
        <v>0.64255999999999991</v>
      </c>
      <c r="P11" s="10">
        <f t="shared" si="0"/>
        <v>0.86918176038524497</v>
      </c>
      <c r="Q11" s="9">
        <f t="shared" si="1"/>
        <v>9.6709999999999963E-2</v>
      </c>
      <c r="R11" s="11">
        <f t="shared" si="3"/>
        <v>24.000000000000021</v>
      </c>
      <c r="S11" s="12">
        <f>IF(OR(G11="",H11=""),"",IF(H11=0,"",G11/H11))</f>
        <v>39.218749999999993</v>
      </c>
      <c r="T11" s="7">
        <v>4</v>
      </c>
      <c r="U11">
        <f t="shared" si="4"/>
        <v>3.9955102040816324</v>
      </c>
      <c r="V11" s="11">
        <f t="shared" si="2"/>
        <v>4.4897959183676228</v>
      </c>
    </row>
    <row r="12" spans="1:22" x14ac:dyDescent="0.2">
      <c r="A12" s="5">
        <v>6</v>
      </c>
      <c r="B12" s="6">
        <v>2.5</v>
      </c>
      <c r="C12" s="6">
        <v>2.52</v>
      </c>
      <c r="D12" s="6">
        <v>50</v>
      </c>
      <c r="E12" s="7">
        <v>2.5099999999999998</v>
      </c>
      <c r="F12" s="7">
        <v>0.22700000000000001</v>
      </c>
      <c r="G12" s="7">
        <v>5.0199999999999996</v>
      </c>
      <c r="H12" s="7">
        <v>9.9000000000000005E-2</v>
      </c>
      <c r="I12" s="7">
        <v>3</v>
      </c>
      <c r="J12" s="7">
        <v>59.6</v>
      </c>
      <c r="K12" s="7">
        <v>15.624000000000001</v>
      </c>
      <c r="L12" s="8">
        <v>317</v>
      </c>
      <c r="M12" s="8">
        <v>61</v>
      </c>
      <c r="N12" s="9">
        <f>IF(OR(E12="",F12=""),"",E12*F12)</f>
        <v>0.56977</v>
      </c>
      <c r="O12" s="9">
        <f>IF(OR(G12="",H12=""),"",G12*H12)</f>
        <v>0.49697999999999998</v>
      </c>
      <c r="P12" s="10">
        <f t="shared" si="0"/>
        <v>0.8722466960352423</v>
      </c>
      <c r="Q12" s="9">
        <f t="shared" si="1"/>
        <v>7.2790000000000021E-2</v>
      </c>
      <c r="R12" s="11">
        <f t="shared" si="3"/>
        <v>10.000000000000231</v>
      </c>
      <c r="S12" s="12">
        <f>IF(OR(G12="",H12=""),"",IF(H12=0,"",G12/H12))</f>
        <v>50.707070707070699</v>
      </c>
      <c r="T12" s="7">
        <v>3.9990000000000001</v>
      </c>
      <c r="U12">
        <f t="shared" si="4"/>
        <v>3.9955102040816324</v>
      </c>
      <c r="V12" s="11">
        <f t="shared" si="2"/>
        <v>3.489795918367733</v>
      </c>
    </row>
    <row r="13" spans="1:22" ht="16" thickBot="1" x14ac:dyDescent="0.25">
      <c r="A13" s="5">
        <v>7</v>
      </c>
      <c r="B13" s="6">
        <v>2.5</v>
      </c>
      <c r="C13" s="6">
        <v>2.52</v>
      </c>
      <c r="D13" s="6">
        <v>52.5</v>
      </c>
      <c r="E13" s="7">
        <v>2.4980000000000002</v>
      </c>
      <c r="F13" s="7">
        <v>0.217</v>
      </c>
      <c r="G13" s="7">
        <v>5.0199999999999996</v>
      </c>
      <c r="H13" s="7">
        <v>9.5000000000000001E-2</v>
      </c>
      <c r="I13" s="7">
        <v>3.02</v>
      </c>
      <c r="J13" s="7">
        <v>59.8</v>
      </c>
      <c r="K13" s="7">
        <v>15.624000000000001</v>
      </c>
      <c r="L13" s="8">
        <v>405</v>
      </c>
      <c r="M13" s="8">
        <v>69</v>
      </c>
      <c r="N13" s="9">
        <f>IF(OR(E13="",F13=""),"",E13*F13)</f>
        <v>0.54206600000000005</v>
      </c>
      <c r="O13" s="9">
        <f>IF(OR(G13="",H13=""),"",G13*H13)</f>
        <v>0.47689999999999999</v>
      </c>
      <c r="P13" s="10">
        <f t="shared" si="0"/>
        <v>0.87978216674722254</v>
      </c>
      <c r="Q13" s="9">
        <f t="shared" si="1"/>
        <v>6.5166000000000057E-2</v>
      </c>
      <c r="R13" s="11">
        <f t="shared" si="3"/>
        <v>21.999999999999797</v>
      </c>
      <c r="S13" s="12">
        <f>IF(OR(G13="",H13=""),"",IF(H13=0,"",G13/H13))</f>
        <v>52.84210526315789</v>
      </c>
      <c r="T13" s="7">
        <v>4</v>
      </c>
      <c r="U13">
        <f t="shared" si="4"/>
        <v>3.9955102040816324</v>
      </c>
      <c r="V13" s="11">
        <f t="shared" si="2"/>
        <v>4.4897959183676228</v>
      </c>
    </row>
    <row r="14" spans="1:22" x14ac:dyDescent="0.2">
      <c r="A14" s="13">
        <v>8</v>
      </c>
      <c r="B14" s="14">
        <v>3.5</v>
      </c>
      <c r="C14" s="14">
        <v>3.65</v>
      </c>
      <c r="D14" s="14">
        <v>4.75</v>
      </c>
      <c r="E14" s="15">
        <v>3.5</v>
      </c>
      <c r="F14" s="15">
        <v>1.6439999999999999</v>
      </c>
      <c r="G14" s="15">
        <v>5.01</v>
      </c>
      <c r="H14" s="15">
        <v>0.99099999999999999</v>
      </c>
      <c r="I14" s="15">
        <v>2.25</v>
      </c>
      <c r="J14" s="15">
        <v>44.6</v>
      </c>
      <c r="K14" s="7">
        <v>15.624000000000001</v>
      </c>
      <c r="L14" s="16">
        <v>428</v>
      </c>
      <c r="M14" s="16">
        <v>228</v>
      </c>
      <c r="N14" s="17">
        <f>IF(OR(E14="",F14=""),"",E14*F14)</f>
        <v>5.7539999999999996</v>
      </c>
      <c r="O14" s="17">
        <f>IF(OR(G14="",H14=""),"",G14*H14)</f>
        <v>4.9649099999999997</v>
      </c>
      <c r="P14" s="18">
        <f t="shared" si="0"/>
        <v>0.8628623566214807</v>
      </c>
      <c r="Q14" s="17">
        <f t="shared" si="1"/>
        <v>0.78908999999999985</v>
      </c>
      <c r="R14" s="11">
        <f t="shared" si="3"/>
        <v>149.99999999999991</v>
      </c>
      <c r="S14" s="20">
        <f>IF(OR(G14="",H14=""),"",IF(H14=0,"",G14/H14))</f>
        <v>5.0554994954591317</v>
      </c>
      <c r="T14" s="15">
        <v>3.9980000000000002</v>
      </c>
      <c r="U14">
        <f t="shared" si="4"/>
        <v>3.987551020408163</v>
      </c>
      <c r="V14" s="19">
        <f t="shared" si="2"/>
        <v>10.448979591837215</v>
      </c>
    </row>
    <row r="15" spans="1:22" x14ac:dyDescent="0.2">
      <c r="A15" s="5">
        <v>9</v>
      </c>
      <c r="B15" s="6">
        <v>3.5</v>
      </c>
      <c r="C15" s="6">
        <v>3.64</v>
      </c>
      <c r="D15" s="6">
        <v>5</v>
      </c>
      <c r="E15" s="7">
        <v>3.49</v>
      </c>
      <c r="F15" s="7">
        <v>1.556</v>
      </c>
      <c r="G15" s="7">
        <v>5.01</v>
      </c>
      <c r="H15" s="7">
        <v>0.94399999999999995</v>
      </c>
      <c r="I15" s="7">
        <v>2.29</v>
      </c>
      <c r="J15" s="7">
        <v>45.7</v>
      </c>
      <c r="K15" s="7">
        <v>15.624000000000001</v>
      </c>
      <c r="L15" s="8">
        <v>640</v>
      </c>
      <c r="M15" s="8">
        <v>200</v>
      </c>
      <c r="N15" s="9">
        <f>IF(OR(E15="",F15=""),"",E15*F15)</f>
        <v>5.4304400000000008</v>
      </c>
      <c r="O15" s="9">
        <f>IF(OR(G15="",H15=""),"",G15*H15)</f>
        <v>4.7294399999999994</v>
      </c>
      <c r="P15" s="10">
        <f t="shared" si="0"/>
        <v>0.87091285420702536</v>
      </c>
      <c r="Q15" s="9">
        <f t="shared" si="1"/>
        <v>0.7010000000000014</v>
      </c>
      <c r="R15" s="11">
        <f t="shared" si="3"/>
        <v>149.99999999999991</v>
      </c>
      <c r="S15" s="12">
        <f>IF(OR(G15="",H15=""),"",IF(H15=0,"",G15/H15))</f>
        <v>5.3072033898305087</v>
      </c>
      <c r="T15" s="7">
        <v>3.988</v>
      </c>
      <c r="U15">
        <f t="shared" si="4"/>
        <v>3.987551020408163</v>
      </c>
      <c r="V15" s="11">
        <f t="shared" si="2"/>
        <v>0.44897959183698433</v>
      </c>
    </row>
    <row r="16" spans="1:22" x14ac:dyDescent="0.2">
      <c r="A16" s="5">
        <v>10</v>
      </c>
      <c r="B16" s="6">
        <v>3.5</v>
      </c>
      <c r="C16" s="6">
        <v>3.55</v>
      </c>
      <c r="D16" s="6">
        <v>16.25</v>
      </c>
      <c r="E16" s="7">
        <v>3.5030000000000001</v>
      </c>
      <c r="F16" s="7">
        <v>0.48799999999999999</v>
      </c>
      <c r="G16" s="7">
        <v>5.0199999999999996</v>
      </c>
      <c r="H16" s="7">
        <v>0.30299999999999999</v>
      </c>
      <c r="I16" s="7">
        <v>2.9</v>
      </c>
      <c r="J16" s="7">
        <v>57.5</v>
      </c>
      <c r="K16" s="7">
        <v>15.624000000000001</v>
      </c>
      <c r="L16" s="8">
        <v>550</v>
      </c>
      <c r="M16" s="8">
        <v>101</v>
      </c>
      <c r="N16" s="9">
        <f>IF(OR(E16="",F16=""),"",E16*F16)</f>
        <v>1.7094640000000001</v>
      </c>
      <c r="O16" s="9">
        <f>IF(OR(G16="",H16=""),"",G16*H16)</f>
        <v>1.5210599999999999</v>
      </c>
      <c r="P16" s="10">
        <f t="shared" si="0"/>
        <v>0.88978767613708143</v>
      </c>
      <c r="Q16" s="9">
        <f t="shared" si="1"/>
        <v>0.18840400000000024</v>
      </c>
      <c r="R16" s="11">
        <f t="shared" si="3"/>
        <v>46.999999999999709</v>
      </c>
      <c r="S16" s="12">
        <f>IF(OR(G16="",H16=""),"",IF(H16=0,"",G16/H16))</f>
        <v>16.567656765676567</v>
      </c>
      <c r="T16" s="7">
        <v>3.9990000000000001</v>
      </c>
      <c r="U16">
        <f t="shared" si="4"/>
        <v>3.9955102040816324</v>
      </c>
      <c r="V16" s="11">
        <f t="shared" si="2"/>
        <v>3.489795918367733</v>
      </c>
    </row>
    <row r="17" spans="1:22" x14ac:dyDescent="0.2">
      <c r="A17" s="5">
        <v>11</v>
      </c>
      <c r="B17" s="6">
        <v>3.5</v>
      </c>
      <c r="C17" s="6">
        <v>3.52</v>
      </c>
      <c r="D17" s="6">
        <v>27.5</v>
      </c>
      <c r="E17" s="7">
        <v>3.5</v>
      </c>
      <c r="F17" s="7">
        <v>0.28899999999999998</v>
      </c>
      <c r="G17" s="7">
        <v>5.0199999999999996</v>
      </c>
      <c r="H17" s="7">
        <v>0.18</v>
      </c>
      <c r="I17" s="7">
        <v>3.03</v>
      </c>
      <c r="J17" s="7">
        <v>60.06</v>
      </c>
      <c r="K17" s="7">
        <v>15.624000000000001</v>
      </c>
      <c r="L17" s="8">
        <v>560</v>
      </c>
      <c r="M17" s="8">
        <v>79</v>
      </c>
      <c r="N17" s="9">
        <f>IF(OR(E17="",F17=""),"",E17*F17)</f>
        <v>1.0114999999999998</v>
      </c>
      <c r="O17" s="9">
        <f>IF(OR(G17="",H17=""),"",G17*H17)</f>
        <v>0.90359999999999985</v>
      </c>
      <c r="P17" s="10">
        <f t="shared" si="0"/>
        <v>0.89332674246169053</v>
      </c>
      <c r="Q17" s="9">
        <f t="shared" si="1"/>
        <v>0.1079</v>
      </c>
      <c r="R17" s="11">
        <f t="shared" si="3"/>
        <v>20.000000000000018</v>
      </c>
      <c r="S17" s="12">
        <f>IF(OR(G17="",H17=""),"",IF(H17=0,"",G17/H17))</f>
        <v>27.888888888888889</v>
      </c>
      <c r="T17" s="7">
        <v>3.9990000000000001</v>
      </c>
      <c r="U17">
        <f t="shared" si="4"/>
        <v>3.9955102040816324</v>
      </c>
      <c r="V17" s="11">
        <f t="shared" si="2"/>
        <v>3.489795918367733</v>
      </c>
    </row>
    <row r="18" spans="1:22" x14ac:dyDescent="0.2">
      <c r="A18" s="5">
        <v>12</v>
      </c>
      <c r="B18" s="6">
        <v>3.5</v>
      </c>
      <c r="C18" s="6">
        <v>3.52</v>
      </c>
      <c r="D18" s="6">
        <v>38.75</v>
      </c>
      <c r="E18" s="7">
        <v>3.5030000000000001</v>
      </c>
      <c r="F18" s="7">
        <v>0.20599999999999999</v>
      </c>
      <c r="G18" s="7">
        <v>5.0289999999999999</v>
      </c>
      <c r="H18" s="7">
        <v>0.128</v>
      </c>
      <c r="I18" s="7">
        <v>3.11</v>
      </c>
      <c r="J18" s="7">
        <v>61.72</v>
      </c>
      <c r="K18" s="7">
        <v>15.624000000000001</v>
      </c>
      <c r="L18" s="8">
        <v>519</v>
      </c>
      <c r="M18" s="8">
        <v>79.099999999999994</v>
      </c>
      <c r="N18" s="9">
        <f>IF(OR(E18="",F18=""),"",E18*F18)</f>
        <v>0.72161799999999998</v>
      </c>
      <c r="O18" s="9">
        <f>IF(OR(G18="",H18=""),"",G18*H18)</f>
        <v>0.64371199999999995</v>
      </c>
      <c r="P18" s="10">
        <f t="shared" si="0"/>
        <v>0.89203983270927267</v>
      </c>
      <c r="Q18" s="9">
        <f t="shared" si="1"/>
        <v>7.7906000000000031E-2</v>
      </c>
      <c r="R18" s="11">
        <f t="shared" si="3"/>
        <v>16.999999999999904</v>
      </c>
      <c r="S18" s="12">
        <f>IF(OR(G18="",H18=""),"",IF(H18=0,"",G18/H18))</f>
        <v>39.2890625</v>
      </c>
      <c r="T18" s="7">
        <v>4</v>
      </c>
      <c r="U18">
        <f t="shared" si="4"/>
        <v>4.002673469387755</v>
      </c>
      <c r="V18" s="11">
        <f t="shared" si="2"/>
        <v>-2.6734693877550342</v>
      </c>
    </row>
    <row r="19" spans="1:22" x14ac:dyDescent="0.2">
      <c r="A19" s="5">
        <v>13</v>
      </c>
      <c r="B19" s="6">
        <v>3.5</v>
      </c>
      <c r="C19" s="6">
        <v>3.51</v>
      </c>
      <c r="D19" s="6">
        <v>50</v>
      </c>
      <c r="E19" s="7">
        <v>3.496</v>
      </c>
      <c r="F19" s="7">
        <v>0.16</v>
      </c>
      <c r="G19" s="7">
        <v>5.0199999999999996</v>
      </c>
      <c r="H19" s="7">
        <v>0.1</v>
      </c>
      <c r="I19" s="7">
        <v>3.16</v>
      </c>
      <c r="J19" s="7">
        <v>62.89</v>
      </c>
      <c r="K19" s="7">
        <v>15.624000000000001</v>
      </c>
      <c r="L19" s="8">
        <v>370</v>
      </c>
      <c r="M19" s="8">
        <v>57.616999999999997</v>
      </c>
      <c r="N19" s="9">
        <f>IF(OR(E19="",F19=""),"",E19*F19)</f>
        <v>0.55935999999999997</v>
      </c>
      <c r="O19" s="9">
        <f>IF(OR(G19="",H19=""),"",G19*H19)</f>
        <v>0.502</v>
      </c>
      <c r="P19" s="10">
        <f t="shared" si="0"/>
        <v>0.89745423340961106</v>
      </c>
      <c r="Q19" s="9">
        <f t="shared" si="1"/>
        <v>5.7359999999999967E-2</v>
      </c>
      <c r="R19" s="11">
        <f t="shared" si="3"/>
        <v>13.99999999999979</v>
      </c>
      <c r="S19" s="12">
        <f>IF(OR(G19="",H19=""),"",IF(H19=0,"",G19/H19))</f>
        <v>50.199999999999996</v>
      </c>
      <c r="T19" s="7">
        <v>3.9990000000000001</v>
      </c>
      <c r="U19">
        <f t="shared" si="4"/>
        <v>3.9955102040816324</v>
      </c>
      <c r="V19" s="11">
        <f t="shared" si="2"/>
        <v>3.489795918367733</v>
      </c>
    </row>
    <row r="20" spans="1:22" x14ac:dyDescent="0.2">
      <c r="A20" s="5">
        <v>14</v>
      </c>
      <c r="B20" s="6">
        <v>3.5</v>
      </c>
      <c r="C20" s="6">
        <v>3.51</v>
      </c>
      <c r="D20" s="6">
        <v>52.5</v>
      </c>
      <c r="E20" s="7">
        <v>3.4980000000000002</v>
      </c>
      <c r="F20" s="7">
        <v>0.15</v>
      </c>
      <c r="G20" s="7">
        <v>5.0179999999999998</v>
      </c>
      <c r="H20" s="7">
        <v>9.6000000000000002E-2</v>
      </c>
      <c r="I20" s="7">
        <v>3.1789999999999998</v>
      </c>
      <c r="J20" s="7">
        <v>62.99</v>
      </c>
      <c r="K20" s="7">
        <v>15.624000000000001</v>
      </c>
      <c r="L20" s="8">
        <v>370</v>
      </c>
      <c r="M20" s="8">
        <v>57.6</v>
      </c>
      <c r="N20" s="9">
        <f>IF(OR(E20="",F20=""),"",E20*F20)</f>
        <v>0.52470000000000006</v>
      </c>
      <c r="O20" s="9">
        <f>IF(OR(G20="",H20=""),"",G20*H20)</f>
        <v>0.48172799999999999</v>
      </c>
      <c r="P20" s="10">
        <f t="shared" si="0"/>
        <v>0.91810177244139501</v>
      </c>
      <c r="Q20" s="9">
        <f t="shared" si="1"/>
        <v>4.2972000000000066E-2</v>
      </c>
      <c r="R20" s="11">
        <f>(C20-E20)*1000</f>
        <v>11.999999999999567</v>
      </c>
      <c r="S20" s="12">
        <f>IF(OR(G20="",H20=""),"",IF(H20=0,"",G20/H20))</f>
        <v>52.270833333333329</v>
      </c>
      <c r="T20" s="7">
        <v>3.9980000000000002</v>
      </c>
      <c r="U20">
        <f t="shared" si="4"/>
        <v>3.9939183673469385</v>
      </c>
      <c r="V20" s="11">
        <f t="shared" si="2"/>
        <v>4.0816326530617175</v>
      </c>
    </row>
    <row r="22" spans="1:22" x14ac:dyDescent="0.2">
      <c r="A22" s="21"/>
    </row>
    <row r="23" spans="1:22" x14ac:dyDescent="0.2">
      <c r="A23" s="3"/>
    </row>
    <row r="24" spans="1:22" x14ac:dyDescent="0.2">
      <c r="A24" s="3"/>
    </row>
    <row r="25" spans="1:22" x14ac:dyDescent="0.2">
      <c r="A25" s="3"/>
    </row>
    <row r="26" spans="1:22" x14ac:dyDescent="0.2">
      <c r="A26" s="3"/>
    </row>
    <row r="27" spans="1:22" x14ac:dyDescent="0.2">
      <c r="A27" s="3"/>
    </row>
    <row r="28" spans="1:22" x14ac:dyDescent="0.2">
      <c r="A28" s="3"/>
    </row>
    <row r="29" spans="1:22" x14ac:dyDescent="0.2">
      <c r="A29" s="3"/>
    </row>
    <row r="30" spans="1:22" x14ac:dyDescent="0.2">
      <c r="A30" s="3"/>
    </row>
  </sheetData>
  <mergeCells count="4">
    <mergeCell ref="A4:D4"/>
    <mergeCell ref="E4:L4"/>
    <mergeCell ref="N4:S4"/>
    <mergeCell ref="T4:V4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Alexander Ward</cp:lastModifiedBy>
  <cp:revision>1</cp:revision>
  <dcterms:created xsi:type="dcterms:W3CDTF">2026-10-20T02:20:18Z</dcterms:created>
  <dcterms:modified xsi:type="dcterms:W3CDTF">2026-10-22T12:10:39Z</dcterms:modified>
  <dc:language>en-US</dc:language>
</cp:coreProperties>
</file>